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29.xml"/>
  <Override ContentType="application/vnd.openxmlformats-officedocument.spreadsheetml.table+xml" PartName="/xl/tables/table32.xml"/>
  <Override ContentType="application/vnd.openxmlformats-officedocument.spreadsheetml.table+xml" PartName="/xl/tables/table28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26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5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6.xml"/>
  <Override ContentType="application/vnd.openxmlformats-officedocument.spreadsheetml.comments+xml" PartName="/xl/comments13.xml"/>
  <Override ContentType="application/vnd.openxmlformats-officedocument.spreadsheetml.comments+xml" PartName="/xl/comments4.xml"/>
  <Override ContentType="application/vnd.openxmlformats-officedocument.spreadsheetml.comments+xml" PartName="/xl/comments2.xml"/>
  <Override ContentType="application/vnd.openxmlformats-officedocument.spreadsheetml.comments+xml" PartName="/xl/comments8.xml"/>
  <Override ContentType="application/vnd.openxmlformats-officedocument.spreadsheetml.comments+xml" PartName="/xl/comments14.xml"/>
  <Override ContentType="application/vnd.openxmlformats-officedocument.spreadsheetml.comments+xml" PartName="/xl/comments11.xml"/>
  <Override ContentType="application/vnd.openxmlformats-officedocument.spreadsheetml.comments+xml" PartName="/xl/comments12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EIRO" sheetId="1" r:id="rId5"/>
    <sheet state="visible" name="23" sheetId="2" r:id="rId6"/>
    <sheet state="visible" name="RECIBO SALARIO" sheetId="3" r:id="rId7"/>
    <sheet state="visible" name="FEVEREIRO" sheetId="4" r:id="rId8"/>
    <sheet state="visible" name="MAIO" sheetId="5" r:id="rId9"/>
    <sheet state="visible" name="MARÇO" sheetId="6" r:id="rId10"/>
    <sheet state="visible" name="ABRIL" sheetId="7" r:id="rId11"/>
    <sheet state="visible" name="JUNHO" sheetId="8" r:id="rId12"/>
    <sheet state="visible" name="JULHO" sheetId="9" r:id="rId13"/>
    <sheet state="visible" name="AGOSTO" sheetId="10" r:id="rId14"/>
    <sheet state="visible" name="SETEMBRO" sheetId="11" r:id="rId15"/>
    <sheet state="visible" name="OUTUBRO" sheetId="12" r:id="rId16"/>
    <sheet state="visible" name="NOVEMBRO" sheetId="13" r:id="rId17"/>
    <sheet state="visible" name="DEZEMBRO" sheetId="14" r:id="rId18"/>
    <sheet state="visible" name="JANEIRO 2023" sheetId="15" r:id="rId19"/>
    <sheet state="visible" name="FEVEREIRO 2023" sheetId="16" r:id="rId20"/>
    <sheet state="visible" name="MARÇO 2023" sheetId="17" r:id="rId21"/>
    <sheet state="visible" name="ABRIL 2023" sheetId="18" r:id="rId22"/>
    <sheet state="visible" name="MAIO 2023" sheetId="19" r:id="rId23"/>
    <sheet state="visible" name="JUNHO 2023" sheetId="20" r:id="rId24"/>
    <sheet state="visible" name="JULHO 2023" sheetId="21" r:id="rId25"/>
    <sheet state="visible" name="AGOSTO 2023" sheetId="22" r:id="rId26"/>
    <sheet state="visible" name="SETEMBRO 2023" sheetId="23" r:id="rId27"/>
    <sheet state="visible" name="OUTUBRO 2023" sheetId="24" r:id="rId28"/>
    <sheet state="visible" name="NOVEMBRO 2023" sheetId="25" r:id="rId29"/>
    <sheet state="visible" name="DEZEMBRO 2023" sheetId="26" r:id="rId30"/>
    <sheet state="visible" name="JANEIRO 2024" sheetId="27" r:id="rId31"/>
    <sheet state="visible" name="FEVEREIRO 2024" sheetId="28" r:id="rId32"/>
    <sheet state="visible" name="MARÇO 2024" sheetId="29" r:id="rId33"/>
    <sheet state="visible" name="ABRIL 2024" sheetId="30" r:id="rId34"/>
    <sheet state="visible" name="MAIO 2024" sheetId="31" r:id="rId35"/>
    <sheet state="visible" name="JUNHO 2024" sheetId="32" r:id="rId36"/>
    <sheet state="visible" name="JULHO 2024" sheetId="33" r:id="rId37"/>
    <sheet state="visible" name="AGOSTO 2024" sheetId="34" r:id="rId38"/>
    <sheet state="visible" name="SETEMBRO 2024" sheetId="35" r:id="rId39"/>
    <sheet state="visible" name="OUTUBRO 2024" sheetId="36" r:id="rId40"/>
    <sheet state="visible" name="NOVEMBRO 2024" sheetId="37" r:id="rId41"/>
    <sheet state="visible" name="DEZEMBRO 2024" sheetId="38" r:id="rId42"/>
    <sheet state="visible" name="JANEIRO 2025" sheetId="39" r:id="rId43"/>
    <sheet state="visible" name="FEVEREIRO 2025" sheetId="40" r:id="rId44"/>
    <sheet state="visible" name="MARÇO 2025" sheetId="41" r:id="rId45"/>
    <sheet state="visible" name="ABRIL 2025" sheetId="42" r:id="rId46"/>
    <sheet state="visible" name="MAIO 2025" sheetId="43" r:id="rId47"/>
    <sheet state="visible" name="JUNHO 2025" sheetId="44" r:id="rId48"/>
    <sheet state="visible" name="JULHO 2025" sheetId="45" r:id="rId49"/>
    <sheet state="visible" name="AGOSTO 2025" sheetId="46" r:id="rId50"/>
    <sheet state="visible" name="SETEMBRO 2025" sheetId="47" r:id="rId51"/>
    <sheet state="visible" name="OUTUBRO 2025" sheetId="48" r:id="rId52"/>
    <sheet state="visible" name="recibos março25" sheetId="49" r:id="rId53"/>
    <sheet state="visible" name="NOVEMBRO 2025" sheetId="50" r:id="rId54"/>
    <sheet state="visible" name="DEZEMBRO 2025" sheetId="51" r:id="rId55"/>
    <sheet state="visible" name="JANEIRO 2026" sheetId="52" r:id="rId56"/>
    <sheet state="visible" name="FEVEREIRO 2026" sheetId="53" r:id="rId57"/>
    <sheet state="visible" name="MARÇO 2026" sheetId="54" r:id="rId58"/>
    <sheet state="visible" name="ABRIL 2026" sheetId="55" r:id="rId59"/>
    <sheet state="visible" name="MAIO 2026" sheetId="56" r:id="rId60"/>
    <sheet state="visible" name="JUNHO 2026" sheetId="57" r:id="rId61"/>
    <sheet state="visible" name="JULHO 2026" sheetId="58" r:id="rId62"/>
    <sheet state="visible" name="AGOSTO 2026" sheetId="59" r:id="rId63"/>
    <sheet state="visible" name="SETEMBRO 2026" sheetId="60" r:id="rId64"/>
    <sheet state="visible" name="OUTUBRO 2026" sheetId="61" r:id="rId65"/>
  </sheets>
  <definedNames>
    <definedName hidden="1" localSheetId="44" name="_xlnm._FilterDatabase">'JULHO 2025'!$A$5:$F$22</definedName>
    <definedName hidden="1" localSheetId="45" name="_xlnm._FilterDatabase">'AGOSTO 2025'!$A$5:$F$22</definedName>
    <definedName hidden="1" localSheetId="46" name="_xlnm._FilterDatabase">'SETEMBRO 2025'!$A$5:$F$23</definedName>
    <definedName hidden="1" localSheetId="47" name="_xlnm._FilterDatabase">'OUTUBRO 2025'!$A$5:$F$24</definedName>
    <definedName hidden="1" localSheetId="49" name="_xlnm._FilterDatabase">'NOVEMBRO 2025'!$A$5:$F$23</definedName>
    <definedName hidden="1" localSheetId="50" name="_xlnm._FilterDatabase">'DEZEMBRO 2025'!$A$5:$F$25</definedName>
    <definedName hidden="1" localSheetId="51" name="_xlnm._FilterDatabase">'JANEIRO 2026'!$A$5:$F$20</definedName>
    <definedName hidden="1" localSheetId="52" name="_xlnm._FilterDatabase">'FEVEREIRO 2026'!$A$5:$F$22</definedName>
    <definedName hidden="1" localSheetId="53" name="_xlnm._FilterDatabase">'MARÇO 2026'!$A$5:$F$23</definedName>
    <definedName hidden="1" localSheetId="54" name="_xlnm._FilterDatabase">'ABRIL 2026'!$A$5:$F$23</definedName>
    <definedName hidden="1" localSheetId="55" name="_xlnm._FilterDatabase">'MAIO 2026'!$A$5:$F$23</definedName>
    <definedName hidden="1" localSheetId="56" name="_xlnm._FilterDatabase">'JUNHO 2026'!$A$5:$F$23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tc={1edb2107-ad45-4a69-ac93-22fba1fa69ce}</author>
    <author>tc={8f301e38-f79a-4849-a9c8-ebf68a3d165d}</author>
    <author>tc={c3af8727-e421-4be8-a619-ffd4857a4fe1}</author>
    <author>tc={c4d8c3d4-e31f-442e-9ab0-439acf8eb671}</author>
    <author>tc={e09aed61-a206-4dfe-9b15-b9a99e5b5c90}</author>
  </authors>
  <commentList>
    <comment authorId="0" ref="A28">
      <text>
        <t xml:space="preserve">bco inter
</t>
      </text>
    </comment>
    <comment authorId="1" xr:uid="{1edb2107-ad45-4a69-ac93-22fba1fa69ce}" ref="A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 pagamentos
</t>
      </text>
    </comment>
    <comment authorId="2" xr:uid="{8f301e38-f79a-4849-a9c8-ebf68a3d165d}" ref="A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 pagamento
</t>
      </text>
    </comment>
    <comment authorId="3" xr:uid="{c3af8727-e421-4be8-a619-ffd4857a4fe1}" ref="A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 pagamento
</t>
      </text>
    </comment>
    <comment authorId="4" xr:uid="{c4d8c3d4-e31f-442e-9ab0-439acf8eb671}" ref="A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cx economica
</t>
      </text>
    </comment>
    <comment authorId="5" xr:uid="{e09aed61-a206-4dfe-9b15-b9a99e5b5c90}" ref="A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cx economica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8">
      <text>
        <t xml:space="preserve">bco inter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7">
      <text>
        <t xml:space="preserve">bco inter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7">
      <text>
        <t xml:space="preserve">bco inter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7">
      <text>
        <t xml:space="preserve">bco inter
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7">
      <text>
        <t xml:space="preserve">bco inter
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7">
      <text>
        <t xml:space="preserve">bco inter
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7">
      <text>
        <t xml:space="preserve">bco inter
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7">
      <text>
        <t xml:space="preserve">bco inter
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8">
      <text>
        <t xml:space="preserve">bco inter
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8">
      <text>
        <t xml:space="preserve">bco inter
</t>
      </text>
    </comment>
  </commentLi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8">
      <text>
        <t xml:space="preserve">bco inter
</t>
      </text>
    </comment>
  </commentList>
</comments>
</file>

<file path=xl/comments1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8">
      <text>
        <t xml:space="preserve">bco inter
</t>
      </text>
    </comment>
  </commentList>
</comments>
</file>

<file path=xl/comments1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8">
      <text>
        <t xml:space="preserve">bco inter
</t>
      </text>
    </comment>
  </commentList>
</comments>
</file>

<file path=xl/comments1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8">
      <text>
        <t xml:space="preserve">bco inter
</t>
      </text>
    </comment>
  </commentList>
</comments>
</file>

<file path=xl/sharedStrings.xml><?xml version="1.0" encoding="utf-8"?>
<sst xmlns="http://schemas.openxmlformats.org/spreadsheetml/2006/main" count="5325" uniqueCount="519">
  <si>
    <t>RECIBO</t>
  </si>
  <si>
    <t>VALE REFEICAO (JULHO 2026)</t>
  </si>
  <si>
    <t>429 COMERCIO SERVIÇOS E CONFECÇOES</t>
  </si>
  <si>
    <t>INFORMAÇÕES FINANCEIRAS DO PEDIDO</t>
  </si>
  <si>
    <t>REF. VR 07/2026</t>
  </si>
  <si>
    <t>RECEBI DA EMPRESA 429 COMÉRCIO, SERVIÇOS E CONFECÇÕES LTDA, OS VALORES DESCRITOS ABAIXO.</t>
  </si>
  <si>
    <t>R$ PREMIAÇÃO</t>
  </si>
  <si>
    <t>DESCRIÇÃO DO VALE</t>
  </si>
  <si>
    <t>QTD. DIAS</t>
  </si>
  <si>
    <t>VLR. UNIT.</t>
  </si>
  <si>
    <t>VLR. TOTAL</t>
  </si>
  <si>
    <t xml:space="preserve">VR e VT </t>
  </si>
  <si>
    <t>429 COMERCIO SERVIÇOS E CONFECÕES</t>
  </si>
  <si>
    <t>CNPJ: 05.393.606/0001-58</t>
  </si>
  <si>
    <t>R$ FATURA</t>
  </si>
  <si>
    <t>SÃO PAULO, ____/____/_____</t>
  </si>
  <si>
    <t>_____________________________________________</t>
  </si>
  <si>
    <t>FUNCIONÁRIO.: JOÃO VITOR ATAIDE DE CAMPOS</t>
  </si>
  <si>
    <t>CPF: 568.214.758-81</t>
  </si>
  <si>
    <t>VALE REFEIÇÃO
 (Janeiro/2022)</t>
  </si>
  <si>
    <t>ESTABELECIMENTO: 429 COMÉRCIO, SERVIÇOS E CONFECÇÕES LTDA.</t>
  </si>
  <si>
    <t>DIAS UTEIS</t>
  </si>
  <si>
    <t>VALE REFEIÇÃO
 (Fevereiro/2022)</t>
  </si>
  <si>
    <t>FUNÇÃO: AUXILIAR DE PRODUÇÃO</t>
  </si>
  <si>
    <t>INFORMAÇÕES ADICIONAIS</t>
  </si>
  <si>
    <t>NOME DO PREMIADO</t>
  </si>
  <si>
    <t>CPF</t>
  </si>
  <si>
    <t>VALOR PREMIAÇÃO</t>
  </si>
  <si>
    <t>OBSERVAÇÔES</t>
  </si>
  <si>
    <t>ADRIANA DE AGUIAR SANTOS MASSICO</t>
  </si>
  <si>
    <t>346.927.508-47</t>
  </si>
  <si>
    <t>ALCIDIANO FERREIRA SOARES</t>
  </si>
  <si>
    <t>427.350.298-40</t>
  </si>
  <si>
    <t>ALESSANDRA AGUIAR SANTOS</t>
  </si>
  <si>
    <t>376.048.248-11</t>
  </si>
  <si>
    <t>ALESSANDRO VIANA DE SOUZA</t>
  </si>
  <si>
    <t>186.247.868-60</t>
  </si>
  <si>
    <t>ALEXANDRE RODRGUES PONTES</t>
  </si>
  <si>
    <t>402.949.798-59</t>
  </si>
  <si>
    <t>ANA CLESSIA DE MELO CASSAROLLI</t>
  </si>
  <si>
    <t>326.165.988-25</t>
  </si>
  <si>
    <t>ANA LIDIA RODRIGUES</t>
  </si>
  <si>
    <t>379.870.798-71</t>
  </si>
  <si>
    <t>ANEILZA LEANDRO DA SILVA</t>
  </si>
  <si>
    <t>956.501.725-87</t>
  </si>
  <si>
    <t>BRUNO DE SOUZA MASCIO</t>
  </si>
  <si>
    <t>362.144.788-10</t>
  </si>
  <si>
    <t>CAMILLE NASCIMENTO SANTOS</t>
  </si>
  <si>
    <t>495.293.348-26</t>
  </si>
  <si>
    <t>CINTHIA APARECIDA DA SILVA SANTOS</t>
  </si>
  <si>
    <t>388-481.978-09</t>
  </si>
  <si>
    <t>FABIO CAETANO LINHARES</t>
  </si>
  <si>
    <t>285.452.878-60</t>
  </si>
  <si>
    <t>FLAVIA DA SILVA NASCIMENTO</t>
  </si>
  <si>
    <t>009.517.365-07</t>
  </si>
  <si>
    <t>FLAVIO BATISTA SANTOS</t>
  </si>
  <si>
    <t>492.977.628-75</t>
  </si>
  <si>
    <t>GABRIEL SLVA DOS SANTOS</t>
  </si>
  <si>
    <t>240.402.818-96</t>
  </si>
  <si>
    <t>HELENA EUFRASIO</t>
  </si>
  <si>
    <t>251.612.848-70</t>
  </si>
  <si>
    <t>ISMAEL PINHO BORGES</t>
  </si>
  <si>
    <t>374.063.268-23</t>
  </si>
  <si>
    <t>KAUE MASCIO ABE</t>
  </si>
  <si>
    <t>524.793.838-06</t>
  </si>
  <si>
    <t>LEIDIANE DOS SANTOS BOMFIM</t>
  </si>
  <si>
    <t>039.203.675-45</t>
  </si>
  <si>
    <t>LUCIANA INOUE MASCIO ROLIM</t>
  </si>
  <si>
    <t>267.270.718-96</t>
  </si>
  <si>
    <t>LUCINEIA VICTORINO DE OLIVEIRA</t>
  </si>
  <si>
    <t>350.497.268-83</t>
  </si>
  <si>
    <t>PATRICIA E SILVA SANTO</t>
  </si>
  <si>
    <t>373.845.408-01</t>
  </si>
  <si>
    <t>RITA DE CASSIA BERTON</t>
  </si>
  <si>
    <t>067.716.908-65</t>
  </si>
  <si>
    <t>VICTOR HUGO LOURENÇO DE AQUINO</t>
  </si>
  <si>
    <t>420.489.858-07</t>
  </si>
  <si>
    <t>VINICIUS MORENO MUSTAFA</t>
  </si>
  <si>
    <t>434.067.308-09</t>
  </si>
  <si>
    <t>FÉRIAS EM FEV</t>
  </si>
  <si>
    <t>FERNANDO FELIPE</t>
  </si>
  <si>
    <t>249.085.898-01</t>
  </si>
  <si>
    <t>REGINA RODRIGUES</t>
  </si>
  <si>
    <t>370.044.458-36</t>
  </si>
  <si>
    <t>CONTRATADA DIA 08/02</t>
  </si>
  <si>
    <t>SILMARA GONÇALVES</t>
  </si>
  <si>
    <t>152.362.568-60</t>
  </si>
  <si>
    <t>429 COMERCIO SERVIÇOS E CONFECÇÕES</t>
  </si>
  <si>
    <t>VALE REFEIÇÃO
 (MAIO/2022)</t>
  </si>
  <si>
    <t>VALE REFEIÇÃO
 (MARÇO/2022)</t>
  </si>
  <si>
    <t>DIEGO DOS REIS</t>
  </si>
  <si>
    <t>338.332.748-59</t>
  </si>
  <si>
    <t>EVILYN SILVA VIEIRA</t>
  </si>
  <si>
    <t>107.231.584-4</t>
  </si>
  <si>
    <t>VALE REFEIÇÃO
 (ABRIL/2022)</t>
  </si>
  <si>
    <t>DESCONTAR DIAS 28 /02 E 01/03</t>
  </si>
  <si>
    <t>FERIAS</t>
  </si>
  <si>
    <t>VALE REFEIÇÃO
 (JUNHO/2022)</t>
  </si>
  <si>
    <t>VALE REFEIÇÃO
 (JULHO/2022)</t>
  </si>
  <si>
    <t>VALE REFEIÇÃO
 (AGOSTO/2022)</t>
  </si>
  <si>
    <t>CLERIUS JOSEPH</t>
  </si>
  <si>
    <t>701.539.092-26</t>
  </si>
  <si>
    <t>RAQUEL PEREIRA DOS SANTOS</t>
  </si>
  <si>
    <t>348.575.418-82</t>
  </si>
  <si>
    <t>VALE REFEIÇÃO
 (SETEMBRO/2022)</t>
  </si>
  <si>
    <t>VALE REFEIÇÃO
 (OUTUBRO/2022)</t>
  </si>
  <si>
    <t>FERIAS 20 DIAS</t>
  </si>
  <si>
    <t>VALE REFEIÇÃO
 (NOVEMBRO/2022)</t>
  </si>
  <si>
    <t>LICENÇA MATERNIDADE</t>
  </si>
  <si>
    <t>VALE REFEIÇÃO
 (DEZEMBRO/2022)</t>
  </si>
  <si>
    <t>AFASTAMENTO</t>
  </si>
  <si>
    <t>VALE REFEIÇÃO
 (JANEIRO/2023)</t>
  </si>
  <si>
    <t>VALE REFEIÇÃO
 (FEVEREIRO/2023)</t>
  </si>
  <si>
    <t>VALE REFEIÇÃO
 (MARÇO/2023)</t>
  </si>
  <si>
    <t>MARCIA CONCEIÇÃO FERNANDES LOURENÇO</t>
  </si>
  <si>
    <t>198.085.318-57</t>
  </si>
  <si>
    <t>VALE REFEIÇÃO
 (MAIO/2023)</t>
  </si>
  <si>
    <t>DESCONTAR</t>
  </si>
  <si>
    <t>VALE REFEIÇÃO
 (JUNHO/2023)</t>
  </si>
  <si>
    <t>VALOR</t>
  </si>
  <si>
    <t>Ferias</t>
  </si>
  <si>
    <t>Ferias (01/06 a 30/06) já descansou 15 dias</t>
  </si>
  <si>
    <t>Ferias (12/06 a 25/06)</t>
  </si>
  <si>
    <t>Ferias (26/06 a 25/07)</t>
  </si>
  <si>
    <t>Ferias (01/06 a 09/06)</t>
  </si>
  <si>
    <t>Ferias (pagamos nas ferias)</t>
  </si>
  <si>
    <t>VALE REFEIÇÃO
 (JULHO/2023)</t>
  </si>
  <si>
    <t>Ferias 03/07 a 01/08</t>
  </si>
  <si>
    <t>Ferias 03/07 a 22/07</t>
  </si>
  <si>
    <t>Ferias 10/07 a 24/07</t>
  </si>
  <si>
    <t>VALE REFEIÇÃO
 (AGOSTO/2023)</t>
  </si>
  <si>
    <t>Ferias 19/06 a 18/07 + 10 dias de ferias antecipadas e licença maternidade</t>
  </si>
  <si>
    <t>Ferias 11/08 a 31/08</t>
  </si>
  <si>
    <t>Ferias 14/08 a 20/08</t>
  </si>
  <si>
    <t>PAULO VINICIUS RODRIGUES FERNANDES</t>
  </si>
  <si>
    <t>426.201.318-98</t>
  </si>
  <si>
    <t>Ferias 07/08 a 20/08</t>
  </si>
  <si>
    <t xml:space="preserve">KAYAN FUJII MASCIO </t>
  </si>
  <si>
    <t xml:space="preserve">241.836.508-52 </t>
  </si>
  <si>
    <t>GABRIEL FERNANDES LOPES</t>
  </si>
  <si>
    <t>128.594.466-64</t>
  </si>
  <si>
    <t>EDIAN MARIANE DA SILVA COELHO</t>
  </si>
  <si>
    <t>376.881.458-05</t>
  </si>
  <si>
    <t>Ferias de 01/09 a 30/09</t>
  </si>
  <si>
    <t>2 dias de ferias 08/09 e 15/09</t>
  </si>
  <si>
    <t>CAUE FERREIRA DE MOURA</t>
  </si>
  <si>
    <t>499.504.068-46</t>
  </si>
  <si>
    <t>ISLAYNE RUFINO GOMES</t>
  </si>
  <si>
    <t>151.778.324-06</t>
  </si>
  <si>
    <t>AGDA AGUIAR DOS SANTOS</t>
  </si>
  <si>
    <t>386.243.358-76</t>
  </si>
  <si>
    <t>VALE REFEIÇÃO
 (NOVEMBRO/2023)</t>
  </si>
  <si>
    <t xml:space="preserve">PALOMA DOS SANTOS ROCHA </t>
  </si>
  <si>
    <t>446.626.198-90</t>
  </si>
  <si>
    <t>VALE REFEIÇÃO
 (dezembro/2023)</t>
  </si>
  <si>
    <t>Descontado 4 dias referente Ferias (26/12 =&gt; 01/01)</t>
  </si>
  <si>
    <t>VALE REFEIÇÃO
 (JANEIRO/2024)</t>
  </si>
  <si>
    <t>demitido</t>
  </si>
  <si>
    <t>Descontado 9 dias referente Ferias (18/12 =&gt;17/01)</t>
  </si>
  <si>
    <t>Descontado 11 dias referente Ferias (01/01 =&gt; 09/01)</t>
  </si>
  <si>
    <t>Priscila Maria do Nascimento</t>
  </si>
  <si>
    <t>BRUNO HELDT</t>
  </si>
  <si>
    <t>474.952.648.70</t>
  </si>
  <si>
    <t>Descontado 12 dias referente Ferias (01/01 =&gt; 10/01)</t>
  </si>
  <si>
    <t>LUCAS SILVA DANIEL</t>
  </si>
  <si>
    <t>443.998.878.42</t>
  </si>
  <si>
    <t>Descontado 30 dias referente Ferias (02/01 =&gt;31/01)</t>
  </si>
  <si>
    <t>PRISCILA MARIA</t>
  </si>
  <si>
    <t>ELAINE LOURENÇO CUNHA DA SILVA</t>
  </si>
  <si>
    <t xml:space="preserve"> </t>
  </si>
  <si>
    <t>referente desconto do mes passado de 4 dias de ferias que não foram tiradas</t>
  </si>
  <si>
    <t>MICAEL MAGNO SOUTO ROSENDO</t>
  </si>
  <si>
    <t>YASMIM DE LIMA RUFINO</t>
  </si>
  <si>
    <t>TOTAL GERAL</t>
  </si>
  <si>
    <t>VALE REFEIÇÃO
 (MAIO/2024)</t>
  </si>
  <si>
    <t>VALE REFEIÇÃO
 (JUNHO/2024)</t>
  </si>
  <si>
    <t>NOME</t>
  </si>
  <si>
    <t>VALE REFEIÇÃO
 (JULHO/2024)</t>
  </si>
  <si>
    <t>OK</t>
  </si>
  <si>
    <t>Ferias mes todo</t>
  </si>
  <si>
    <t>JULIANA SOARES DE FREITAS</t>
  </si>
  <si>
    <t>317.409.498-46</t>
  </si>
  <si>
    <t>vai trabalhar até dia 11/04</t>
  </si>
  <si>
    <t>FERIAS 10/06 A 09/07 = RECEBE 16 DIAS.</t>
  </si>
  <si>
    <t>FERIAS 10/06 A 09/07</t>
  </si>
  <si>
    <t>ferias 08/04 a 18/04</t>
  </si>
  <si>
    <t>VANDA LUIZA SANTOS</t>
  </si>
  <si>
    <t>Ferias 06/05 a 25/05</t>
  </si>
  <si>
    <t>601 COMÉRCIO</t>
  </si>
  <si>
    <t>Ferias 02/05 até 31/05</t>
  </si>
  <si>
    <t>601 COMERCIO</t>
  </si>
  <si>
    <t>FERIAS 08/07 A 22/07 = RECEBE 12 DIAS.</t>
  </si>
  <si>
    <t>ELIZABETHA MAGALHAES COELHO CABRAL SANTA CLARA DE AQUINO</t>
  </si>
  <si>
    <t>529.457.768-20</t>
  </si>
  <si>
    <t>FERIAS 10/07 A 08/08 = RECEBE 6 DIAS.</t>
  </si>
  <si>
    <t>THIAGO DOMINGUES GEROLDI</t>
  </si>
  <si>
    <t>394.398.618-78</t>
  </si>
  <si>
    <t>Apenas 5 dias de trabalho</t>
  </si>
  <si>
    <t>429 FÁBRICA</t>
  </si>
  <si>
    <t>VALE REFEIÇÃO
 (AGOSTO/2024)</t>
  </si>
  <si>
    <t>Está de Férias e foi pago o VR completo, mês seguinte não precisa pagar o VR.</t>
  </si>
  <si>
    <t>383.326.748-83</t>
  </si>
  <si>
    <t>119.510.483-56</t>
  </si>
  <si>
    <t>FLAVIA NUNES DE ALMEIDA</t>
  </si>
  <si>
    <t>117.001.666-97</t>
  </si>
  <si>
    <t>ERIK DE SOUZA ALMEIDA</t>
  </si>
  <si>
    <t>239.714.668-18</t>
  </si>
  <si>
    <t>-</t>
  </si>
  <si>
    <t>FOI PAGO REF À SETEMBRO MÊS PASSADO.</t>
  </si>
  <si>
    <t>KLEBER DOS SANTOS</t>
  </si>
  <si>
    <t>TOTAL (429)</t>
  </si>
  <si>
    <t>547.020.428-66</t>
  </si>
  <si>
    <t>MANOEL MARQUES</t>
  </si>
  <si>
    <t>441.636.758-92</t>
  </si>
  <si>
    <t>TOTAL (601)</t>
  </si>
  <si>
    <t>KAIQUE ANDRES</t>
  </si>
  <si>
    <t>507.396.508-66</t>
  </si>
  <si>
    <t>TOTAL GERAL (429 + 601)</t>
  </si>
  <si>
    <t>DESLIGADA</t>
  </si>
  <si>
    <t>VALE REFEIÇÃO (OUTUBRO/2024)</t>
  </si>
  <si>
    <t>VALIDAÇÃO DO VALOR</t>
  </si>
  <si>
    <t>DESLIGADO</t>
  </si>
  <si>
    <t>Estara de Férias A partir do dia 01/10 até 20/10, receberá equivalente à 9 dias.</t>
  </si>
  <si>
    <t>Estará de férias do dia 05/08 até 05/09</t>
  </si>
  <si>
    <t>466.862.428-45</t>
  </si>
  <si>
    <r>
      <rPr>
        <rFont val="Calibri"/>
        <color theme="1"/>
      </rPr>
      <t>DANILO</t>
    </r>
    <r>
      <rPr>
        <rFont val="Calibri"/>
        <color theme="1"/>
      </rPr>
      <t xml:space="preserve"> CORDEIRO OLIVEIRA</t>
    </r>
  </si>
  <si>
    <t>367.625.578-05</t>
  </si>
  <si>
    <t>CAMILA ADRIANA DA SILVA</t>
  </si>
  <si>
    <t>304.245.018-05</t>
  </si>
  <si>
    <r>
      <rPr>
        <rFont val="Calibri"/>
        <color theme="1"/>
      </rPr>
      <t>DANILO</t>
    </r>
    <r>
      <rPr>
        <rFont val="Calibri"/>
        <color theme="1"/>
      </rPr>
      <t xml:space="preserve"> CORDEIRO OLIVEIRA</t>
    </r>
  </si>
  <si>
    <t>PATRICIA APARECIDA SOARES NUNES</t>
  </si>
  <si>
    <t>180.442.318-11</t>
  </si>
  <si>
    <t>499.555.548-00</t>
  </si>
  <si>
    <t>REF. 19 DIAS.</t>
  </si>
  <si>
    <t>ERIK RIAN DOS SANTOS</t>
  </si>
  <si>
    <t>066.925.145-33</t>
  </si>
  <si>
    <t>426.201.318-99</t>
  </si>
  <si>
    <t>394.398.618-79</t>
  </si>
  <si>
    <t>ANA HELENA</t>
  </si>
  <si>
    <t>268.938.088-95</t>
  </si>
  <si>
    <r>
      <rPr>
        <rFont val="Calibri"/>
        <color theme="1"/>
      </rPr>
      <t>DANILO</t>
    </r>
    <r>
      <rPr>
        <rFont val="Calibri"/>
        <color theme="1"/>
      </rPr>
      <t xml:space="preserve"> CORDEIRO OLIVEIRA</t>
    </r>
  </si>
  <si>
    <t>PABLO BELMIRO AMARAL</t>
  </si>
  <si>
    <t>442.623.638-05</t>
  </si>
  <si>
    <t>VALE REFEIÇÃO (NOVEMBRO/2024)</t>
  </si>
  <si>
    <t>Pendente</t>
  </si>
  <si>
    <r>
      <rPr>
        <rFont val="Calibri"/>
        <color theme="1"/>
      </rPr>
      <t>DANILO</t>
    </r>
    <r>
      <rPr>
        <rFont val="Calibri"/>
        <color theme="1"/>
      </rPr>
      <t xml:space="preserve"> CORDEIRO OLIVEIRA</t>
    </r>
  </si>
  <si>
    <t>VALE REFEIÇÃO (DEZEMBRO/2024)</t>
  </si>
  <si>
    <t>VALE REFEIÇÃO (JANEIRO/2025)</t>
  </si>
  <si>
    <t>ANA HELENA ALBUQUERQUE</t>
  </si>
  <si>
    <t>AURORA DUTRA</t>
  </si>
  <si>
    <t>402.997.326-49</t>
  </si>
  <si>
    <t>VR REF. Á 9 DIAS DE TRABALHO.</t>
  </si>
  <si>
    <t>VALE REFEIÇÃO FEVEREIRO/2025)</t>
  </si>
  <si>
    <t>CNPJ</t>
  </si>
  <si>
    <t>ferias de 03-02 até 04-03</t>
  </si>
  <si>
    <t>REF. TIROU FÉRIAS DIA 9 ATÉ O DIA 29, RECEBEU O VR DE JANEIRO INTEIRO. (22-7 = 15 credito VR Janeiro) - 20 dias VR Fevereiro = 5 dias difereça</t>
  </si>
  <si>
    <r>
      <rPr>
        <rFont val="Calibri"/>
        <color theme="1"/>
      </rPr>
      <t>DANILO</t>
    </r>
    <r>
      <rPr>
        <rFont val="Calibri"/>
        <color theme="1"/>
      </rPr>
      <t xml:space="preserve"> CORDEIRO OLIVEIRA</t>
    </r>
  </si>
  <si>
    <t>NICOLI RODRIGUES DE MORAIS</t>
  </si>
  <si>
    <t>409.683.448-36</t>
  </si>
  <si>
    <t>VALE REFEIÇÃO (MARÇO 2025)</t>
  </si>
  <si>
    <t>VALE REFEIÇÃO (FEVEREIRO/2025)</t>
  </si>
  <si>
    <t>Férias até 04/03/2025 = 19 dias</t>
  </si>
  <si>
    <t>EDUARDO DANTAS DE OLIVEIRA</t>
  </si>
  <si>
    <t>035.229.212-16</t>
  </si>
  <si>
    <t>BEATRIZ DANTAS FERNANDES</t>
  </si>
  <si>
    <t>522.905.728-96</t>
  </si>
  <si>
    <t>19 dias - Inicio: 05/03/2025</t>
  </si>
  <si>
    <t>BIANCA CAJADO</t>
  </si>
  <si>
    <t>464.077.848-16</t>
  </si>
  <si>
    <t>16 dias - Inicio: 10/03/2025</t>
  </si>
  <si>
    <t>JEFFERSON RODRIGUES</t>
  </si>
  <si>
    <t>452.464.738-48</t>
  </si>
  <si>
    <t>VALE REFEIÇÃO (ABRIL 2025)</t>
  </si>
  <si>
    <t>Férias - 01/04 a 20/04 = 7 dias</t>
  </si>
  <si>
    <t>Vai ser desligado em 10/04/2025</t>
  </si>
  <si>
    <t>HUMBERTO NUNES</t>
  </si>
  <si>
    <t>KEVIN ALISSON</t>
  </si>
  <si>
    <t>VALE REFEIÇÃO (MAIO 2025)</t>
  </si>
  <si>
    <t>Afastamento INSS - Último dia 14/03</t>
  </si>
  <si>
    <t>Férias - 22/04 a 05/05 = 13 dias</t>
  </si>
  <si>
    <t>ISABELA CAMILA MACEDO DE MOURA</t>
  </si>
  <si>
    <t>368.332.478-38</t>
  </si>
  <si>
    <t>FRANCISCO IRIVAN</t>
  </si>
  <si>
    <t>494.471.528-56</t>
  </si>
  <si>
    <t>LIGIA RIBEIRO PAIVA</t>
  </si>
  <si>
    <t>349.544.128-03</t>
  </si>
  <si>
    <t>Ferias - 05/05 a 24/05 = 20 dias</t>
  </si>
  <si>
    <t>VALE REFEIÇÃO (JUNHO 2025)</t>
  </si>
  <si>
    <t>TOTAL</t>
  </si>
  <si>
    <t>Será desligada em 02/06</t>
  </si>
  <si>
    <t>Flavio desligado em 29/05/2025</t>
  </si>
  <si>
    <t>016.743.094-73</t>
  </si>
  <si>
    <t>VOLTA DE FERIAS DIA 05/05</t>
  </si>
  <si>
    <t>049.882.072-69</t>
  </si>
  <si>
    <t>Férias 23/06 a 02/06/2025 - descontar 06 dias no próximo VR 07</t>
  </si>
  <si>
    <t>VALE REFEIÇÃO (JULHO 2025)</t>
  </si>
  <si>
    <t>Ferias 02/06 a 01/07/2025 - descontar 20 dias no proximo VR 07</t>
  </si>
  <si>
    <t>Descontar 10 dias (1905 a 30/05 - Férias)</t>
  </si>
  <si>
    <t>CAROLINE DA COSTA FÉLIX</t>
  </si>
  <si>
    <t>LILIAN CONCEIÇÃO</t>
  </si>
  <si>
    <t>Ferias 01/07/2025 a 30/07/2025</t>
  </si>
  <si>
    <t>Ferias 02/06 a 01/07/2025 - descontamos 20 dias no VR 07. Restante 02 dias</t>
  </si>
  <si>
    <t>FÉRIAS - 04/08/2025 A 02/09/2025</t>
  </si>
  <si>
    <t>PATRICIA MARTINS DE SOUZA</t>
  </si>
  <si>
    <t>19/06 - feriado - Corpus Christi</t>
  </si>
  <si>
    <t>RICHARD MORAES SILVA</t>
  </si>
  <si>
    <t>FÉRIAS - 04/08/2025 A 23/08/2025 (01, 25 A 29/08) - 6 DIAS</t>
  </si>
  <si>
    <t>VALE REFEIÇÃO (SETEMBRO 2025)</t>
  </si>
  <si>
    <t>ALDEMI SANTOS SILVA</t>
  </si>
  <si>
    <t>285.431.878-18</t>
  </si>
  <si>
    <t>DESCONTAR 09 DIAS (FÉRIAS 21/07 A 01/08) + 20 DIAS DE AGOSTO</t>
  </si>
  <si>
    <t>FÉRIAS - 04/08/2025 A 02/09/2025 = 20 DIAS</t>
  </si>
  <si>
    <t>FÉRIAS - 01/09 A 30/09/2025</t>
  </si>
  <si>
    <t>ISABELLA DOS SANTOS CAMPOS</t>
  </si>
  <si>
    <t>439.472.038-96</t>
  </si>
  <si>
    <t>LUCIENE ALMEIDA SANTOS</t>
  </si>
  <si>
    <t>VALE REFEIÇÃO (OUTUBRO 2025)</t>
  </si>
  <si>
    <t>09//07- feriado estadual - Revolução Constitucionalista de 1932</t>
  </si>
  <si>
    <t>FÉRIAS - 01/10 A 20/10/2025 - 9 DIAS (VR)</t>
  </si>
  <si>
    <t>Reembolso de 02/10 e 03/10 (2 dias) em novembro/2025</t>
  </si>
  <si>
    <t>336.389.928-96</t>
  </si>
  <si>
    <t>307.971.748-01</t>
  </si>
  <si>
    <t>LUCIANA CORREA DE CAMPOS</t>
  </si>
  <si>
    <t>NOVA - não receberá - atestado de 10 dias</t>
  </si>
  <si>
    <t>Periodo: MARÇO/25</t>
  </si>
  <si>
    <t>043.198.035-74</t>
  </si>
  <si>
    <t>Funcionario: ALESSANDRA AGUIAR SANTOS</t>
  </si>
  <si>
    <t>CPF: 376.048.248-11</t>
  </si>
  <si>
    <t>Valor: 592 reais e 0 centavos</t>
  </si>
  <si>
    <t>Empresa: 429 COMERCIO SE</t>
  </si>
  <si>
    <t>Data do Recibo: 28/02/2025</t>
  </si>
  <si>
    <t>VAI PEDIR DEMISSÃO</t>
  </si>
  <si>
    <t>Dias: 20</t>
  </si>
  <si>
    <t>Assinatura: _________________________</t>
  </si>
  <si>
    <t>Receipt 2</t>
  </si>
  <si>
    <t>Funcionario: ALESSANDRO VIANA DE SOUZA</t>
  </si>
  <si>
    <t>600.301.938-77</t>
  </si>
  <si>
    <t>CPF: 186.247.868-60</t>
  </si>
  <si>
    <t>Receipt 3</t>
  </si>
  <si>
    <t>Funcionario: ANEILZA LEANDRO DA SILVA</t>
  </si>
  <si>
    <t>CPF: 956.501.725-87</t>
  </si>
  <si>
    <t>Receipt 4</t>
  </si>
  <si>
    <t>Funcionario: FLAVIO BATISTA SANTOS</t>
  </si>
  <si>
    <t>CPF: 492.977.628-75</t>
  </si>
  <si>
    <t>Receipt 5</t>
  </si>
  <si>
    <t>Funcionario: ISLAYNE RUFINO GOMES</t>
  </si>
  <si>
    <t>CPF: 151.778.324-06</t>
  </si>
  <si>
    <t>Receipt 6</t>
  </si>
  <si>
    <t>Funcionario: ISMAEL PINHO BORGES</t>
  </si>
  <si>
    <t>CPF: 374.063.268-23</t>
  </si>
  <si>
    <t>Receipt 7</t>
  </si>
  <si>
    <t>Funcionario: LUCAS SILVA DANIEL</t>
  </si>
  <si>
    <t>CPF: 443.998.878.42</t>
  </si>
  <si>
    <t>Receipt 8</t>
  </si>
  <si>
    <t>Funcionario: MARCIA CONCEIÇÃO FERNANDES LOI</t>
  </si>
  <si>
    <t>CPF: 198.085.318-57</t>
  </si>
  <si>
    <t>Receipt 9</t>
  </si>
  <si>
    <t>Funcionario: MICAEL MAGNO SOUTO ROSENDO</t>
  </si>
  <si>
    <t>CPF: 466.862.428-45</t>
  </si>
  <si>
    <t>Receipt 10</t>
  </si>
  <si>
    <t>Funcionario: PRISCILA MARIA</t>
  </si>
  <si>
    <t>CPF: 383.326.748-83</t>
  </si>
  <si>
    <t>Receipt 11</t>
  </si>
  <si>
    <t>ARNALDO CESAR ACERBI</t>
  </si>
  <si>
    <t>044.673.748-84</t>
  </si>
  <si>
    <t>Funcionario: CAMILA ADRIANA DA SILVA</t>
  </si>
  <si>
    <t>CPF: 304.245.018-05</t>
  </si>
  <si>
    <t>NOVA</t>
  </si>
  <si>
    <t>Receipt 12</t>
  </si>
  <si>
    <t>Funcionario: VINICIUS MORENO MUSTAFA</t>
  </si>
  <si>
    <t>CPF: 434.067.308-09</t>
  </si>
  <si>
    <t>CNPJ: 05.393.606/0001-59</t>
  </si>
  <si>
    <t>Receipt 13</t>
  </si>
  <si>
    <t>Funcionario: VANDA LUIZA SANTOS</t>
  </si>
  <si>
    <t>CPF: 119.510.483-56</t>
  </si>
  <si>
    <t>CNPJ: 05.393.606/0001-60</t>
  </si>
  <si>
    <t>Receipt 14</t>
  </si>
  <si>
    <t>Funcionario: YASMIM DE LIMA RUFINO</t>
  </si>
  <si>
    <t>CPF: 499.555.548-00</t>
  </si>
  <si>
    <t>CNPJ: 05.393.606/0001-61</t>
  </si>
  <si>
    <t>Recibo 1</t>
  </si>
  <si>
    <t>Data: Março de 2025</t>
  </si>
  <si>
    <t>Nome: Aurora Lenirda Dutra</t>
  </si>
  <si>
    <t>CPF: 402.997.326-49</t>
  </si>
  <si>
    <t>Valor: 592,00</t>
  </si>
  <si>
    <t>Empresa: 601 COMERCIO, S</t>
  </si>
  <si>
    <t>CNPJ: 52.803.025/0001-27</t>
  </si>
  <si>
    <t>Data de Pagamento: 28/02/2025</t>
  </si>
  <si>
    <t>Assinatura:</t>
  </si>
  <si>
    <t>Recibo 2</t>
  </si>
  <si>
    <t>Nome: Fernando Felipe</t>
  </si>
  <si>
    <t>CPF: 249.085.898-01</t>
  </si>
  <si>
    <t>Recibo 3</t>
  </si>
  <si>
    <t>Nome: Helena Eufrasio</t>
  </si>
  <si>
    <t>JULIANA SANCHES DE PAULA</t>
  </si>
  <si>
    <t>372.901.728-41</t>
  </si>
  <si>
    <t>CPF: 251.612.848-70</t>
  </si>
  <si>
    <t>CNPJ: 52.803.025/0001-28</t>
  </si>
  <si>
    <t>Recibo 4</t>
  </si>
  <si>
    <t>Nome: Paulo Vinicius Rodrigues Fernan</t>
  </si>
  <si>
    <t>CPF: 426.201.318-99</t>
  </si>
  <si>
    <t>CNPJ: 52.803.025/0001-29</t>
  </si>
  <si>
    <t>Recibo 5</t>
  </si>
  <si>
    <t>Nome: Pablo Belmiro Amaral</t>
  </si>
  <si>
    <t>CPF: 442.623.638-05</t>
  </si>
  <si>
    <t>Nome: Jefferson Rodrigues Pereira</t>
  </si>
  <si>
    <t>CPF: 452.464.738-48</t>
  </si>
  <si>
    <t>Valor: 236,80</t>
  </si>
  <si>
    <t>Recibo 7</t>
  </si>
  <si>
    <t>Nome: Isabela Camila Macedo de Moura</t>
  </si>
  <si>
    <t>CPF: 049.882.072-69</t>
  </si>
  <si>
    <t>Recibo 8</t>
  </si>
  <si>
    <t>Nome: Bianca Cajado do Amaral</t>
  </si>
  <si>
    <t>CPF: 464.077.848-16</t>
  </si>
  <si>
    <t>Valor: 148,00</t>
  </si>
  <si>
    <t>VALE REFEIÇÃO (NOVEMBRO 2025)</t>
  </si>
  <si>
    <t>REF. VR 11/2025</t>
  </si>
  <si>
    <t>VALE REFEIÇÃO (DEZEMBRO 2025)</t>
  </si>
  <si>
    <t>REF. VR 12/2025</t>
  </si>
  <si>
    <t>Não tirou as ferias em Outubro - Rembolso do periodo de 01/ a 20/10 = 14 dias (19 +14)</t>
  </si>
  <si>
    <t>Desligada em 28/11/2025</t>
  </si>
  <si>
    <t>VR</t>
  </si>
  <si>
    <t>CLOVIS DOS SANTOS OLIVIERA</t>
  </si>
  <si>
    <t>272.972.598-96</t>
  </si>
  <si>
    <t>Reembolso de 02/10 e 03/10 (2 dias)</t>
  </si>
  <si>
    <t>IDALIA SANTOS DE ATHAYDE</t>
  </si>
  <si>
    <t>327.599.438-79</t>
  </si>
  <si>
    <t>Desligado em 01/12/2025</t>
  </si>
  <si>
    <t>VALE REFEIÇÃO (JANEIRO 2026)</t>
  </si>
  <si>
    <t>REF. VR 01/2026</t>
  </si>
  <si>
    <t>MARIA DE FÁTIMA OLIVEIRA DE MEDEIROS</t>
  </si>
  <si>
    <t>123.047.258-48</t>
  </si>
  <si>
    <t>Ferias - 29/12 - Não trabalhará em 26/12 = 17 dias</t>
  </si>
  <si>
    <t>Ferias - 29/12  A 13/01/2026 - 15 dias - voltará dia 12/01</t>
  </si>
  <si>
    <t>Dia 16/02 consedido folga/ 17/02 feriado de carnaval</t>
  </si>
  <si>
    <t>VALE REFEIÇÃO (FEVEREIRO 2026)</t>
  </si>
  <si>
    <t>REF. VR 02/2026</t>
  </si>
  <si>
    <t>LUCAS SOARES DA SILVA</t>
  </si>
  <si>
    <t>38.655.453-5</t>
  </si>
  <si>
    <t>Ferias - 29/12 A 09/01/2026 - 15 dias</t>
  </si>
  <si>
    <t>Ferias - 12/01/2026 A 29/01/2026  - 6 dias - dia 30/01 - abonado - ficará devendo para a empresa 1 dia</t>
  </si>
  <si>
    <t>LICENÇA MATERNIDADE  05/02 - descontado o VR na folha de 01/2026</t>
  </si>
  <si>
    <t>MARIA SÃO PEDRO BRAZ DE SOUZA</t>
  </si>
  <si>
    <t>ANGELITA FRANCISCO DE SOUZA</t>
  </si>
  <si>
    <t>VALE REFEIÇÃO (MARÇO 2026)</t>
  </si>
  <si>
    <t>REF. VR 03/2026</t>
  </si>
  <si>
    <t>G220069W</t>
  </si>
  <si>
    <t xml:space="preserve">LICENÇA MATERNIDADE  05/02 </t>
  </si>
  <si>
    <t>VALE REFEIÇÃO (MAIO 2026)</t>
  </si>
  <si>
    <t>VALE REFEIÇÃO (ABRIL 2026)</t>
  </si>
  <si>
    <t>REF. VR 05/2026</t>
  </si>
  <si>
    <t>REF. VR 04/2026</t>
  </si>
  <si>
    <t>FÉRIAS - 02/03 A 21/03/2026 / ABONO: 22/03 A 31/03/2026 (7 DIAS)</t>
  </si>
  <si>
    <t>09/03/2026 = 10 DIAS</t>
  </si>
  <si>
    <t>890.533.115-72</t>
  </si>
  <si>
    <t>SOLANGE PIMENTEL</t>
  </si>
  <si>
    <t>168.896.018-07</t>
  </si>
  <si>
    <t>LICENÇA MATERNIDADE - 05/02</t>
  </si>
  <si>
    <t>FÉRIAS - 04/05 A 18/05 / RETORNO: 19/05 A 31/05 = 9 DIAS DE VR</t>
  </si>
  <si>
    <t>Ferias - 23/03 a 21/04/2026 = descontar 7 dias de 03/2026 na folha de 03/2026 - ferias marcado em 03/2026</t>
  </si>
  <si>
    <t>NEVINE COMÉRCIO</t>
  </si>
  <si>
    <t>348.546.408-20</t>
  </si>
  <si>
    <t>POLIANE MEDEIROS</t>
  </si>
  <si>
    <t>093.976.894-10</t>
  </si>
  <si>
    <t>FÉRIAS - 04/05 A 21/05 / RETORNO: 22/05 A 31/05 = 6 DIAS DE VR</t>
  </si>
  <si>
    <t>Ferias - 23/03 a 21/04/2026 = 7 dias (22/04 a 30/04)</t>
  </si>
  <si>
    <t>71.883.656/0001-48</t>
  </si>
  <si>
    <t>VALE REFEIÇÃO (JUNHO 2026)</t>
  </si>
  <si>
    <t>REF. VR 06/2026</t>
  </si>
  <si>
    <t>GABRIELA LACANNA</t>
  </si>
  <si>
    <t>71.883.656/0001-49</t>
  </si>
  <si>
    <t>CLOVIS DOS SANTOS OLIVEIRA</t>
  </si>
  <si>
    <t>FÉRIAS 30 DIAS - 01/06/2026 A 30/06/2026</t>
  </si>
  <si>
    <t>vai gozar 10 dias das férias - 10/06 - Retorno: 22/06</t>
  </si>
  <si>
    <t>LILIAN CONCEIÇÃO ALMEIDA</t>
  </si>
  <si>
    <t>MARIA SÃO PEDRO BRAZ SOUZA</t>
  </si>
  <si>
    <t>PRISCILA MARIA DO NASCIMENTO</t>
  </si>
  <si>
    <t>DIAS ÚTEIS</t>
  </si>
  <si>
    <t>VALE REFEIÇÃO (JULHO 2026)</t>
  </si>
  <si>
    <t>OBSERVAÇÕES</t>
  </si>
  <si>
    <t>ANA HELENA ALBUQUERQUE ROCES</t>
  </si>
  <si>
    <t>05.393.606/0001-58</t>
  </si>
  <si>
    <t>CATIANI SANTOS NOVAES DO NASCIMENTO</t>
  </si>
  <si>
    <t>254.533.938-58</t>
  </si>
  <si>
    <t>AURORA LENIRDA DUTRA</t>
  </si>
  <si>
    <t>ESTHER SILVA DOS SANTOS</t>
  </si>
  <si>
    <t>484.486.948-56</t>
  </si>
  <si>
    <t>JULIANA SANCHES OLIVEIRA DE PAULA</t>
  </si>
  <si>
    <t>IDALIA SANTOS DE ATHAYDE OLIVEIRA</t>
  </si>
  <si>
    <t>POLIANE COSTA DE MEDEIROS</t>
  </si>
  <si>
    <t>VALE REFEIÇÃO (AGOSTO 2026)</t>
  </si>
  <si>
    <t>REF. VR 08/2026</t>
  </si>
  <si>
    <t>GABRIELA DA SILVA LACANNA</t>
  </si>
  <si>
    <t>FÉRIAS - 03/08 A 01/09/26 - 30 DIAS</t>
  </si>
  <si>
    <t>52.803.025/0001-27</t>
  </si>
  <si>
    <t>FÉRIAS - 06/07 até 23/07 , sendo VR de 9 DIAS</t>
  </si>
  <si>
    <t>FÉRIAS - 31/08 A 19/09/26 - 20 DIAS + 10</t>
  </si>
  <si>
    <t>DEV. 10 DIAS VR = 32,50*10 = 325,00</t>
  </si>
  <si>
    <t>FÉRIAS - 31/08 A 29/09/26 - 30 DIAS</t>
  </si>
  <si>
    <t>FÉRIAS - 31/08 A 15/09/26 - 15 DIAS</t>
  </si>
  <si>
    <t>560.173.108-01</t>
  </si>
  <si>
    <t>MARKMARLEM MONTEIRO COSTA</t>
  </si>
  <si>
    <t>422.965.868-05</t>
  </si>
  <si>
    <t>VALE REFEIÇÃO (SETEMBRO 2026)</t>
  </si>
  <si>
    <t>REF. VR 09/2026</t>
  </si>
  <si>
    <t>FÉRIAS - 28/09/26 A 17/10/26 (20 DIAS + 10 ABONO) / VR = 18 DIAS</t>
  </si>
  <si>
    <t>FERIAS - 03/08 A 22/08/2026 - 20 DIAS / 10 ABONO = 23/08 A 31/08 - 6 DIAS</t>
  </si>
  <si>
    <t>PF - VR</t>
  </si>
  <si>
    <t>FÉRIAS - 03/08 A 01/09/26 - 30 DIAS / vr = 20 dias</t>
  </si>
  <si>
    <t>PF - VT</t>
  </si>
  <si>
    <t>FÉRIAS - 31/08 A 19/09/26 - 20 DIAS + 10 / vr = 8 dias</t>
  </si>
  <si>
    <t>FÉRIAS - 31/08 A 29/09/26 - 30 DIAS - NOVA DATA: 08/09 A  / vr = 1 dias</t>
  </si>
  <si>
    <t>1 A 3/</t>
  </si>
  <si>
    <t>FÉRIAS - 31/08 A 14/09/26 - 15 DIAS / vr = 12 dias</t>
  </si>
  <si>
    <t>VALE REFEIÇÃO (OUTUBRO 2026)</t>
  </si>
  <si>
    <t>REF. VR 10/2026</t>
  </si>
  <si>
    <t>FÉRIAS - 28/09/26 A 17/10/26 (20 DIAS + 10 ABONO) / VR = 10 dias</t>
  </si>
  <si>
    <t>DANIELA GIUNZIONI</t>
  </si>
  <si>
    <t>274.281.458-21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</si>
</sst>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([$R$ -416]* #,##0.00_);_([$R$ -416]* \(#,##0.00\);_([$R$ -416]* &quot;-&quot;??_);_(@_)"/>
    <numFmt numFmtId="165" formatCode="dd/mm/yyyy"/>
    <numFmt numFmtId="166" formatCode="dd/MM/yyyy"/>
    <numFmt numFmtId="167" formatCode="[$R$ -416]#,##0.00"/>
  </numFmts>
  <fonts count="52">
    <font>
      <sz val="10.0"/>
      <color rgb="FF000000"/>
      <name val="Arial"/>
      <scheme val="minor"/>
    </font>
    <font>
      <color rgb="FF000000"/>
      <name val="Calibri"/>
    </font>
    <font>
      <b/>
      <sz val="14.0"/>
      <color rgb="FF000000"/>
      <name val="Courier New"/>
    </font>
    <font>
      <sz val="8.0"/>
      <color theme="1"/>
      <name val="Arial"/>
    </font>
    <font>
      <b/>
      <sz val="18.0"/>
      <color rgb="FF000000"/>
      <name val="Calibri"/>
    </font>
    <font>
      <b/>
      <color rgb="FFFFFFFF"/>
      <name val="Calibri"/>
    </font>
    <font/>
    <font>
      <b/>
      <color rgb="FF000000"/>
      <name val="Calibri"/>
    </font>
    <font>
      <sz val="14.0"/>
      <color rgb="FF000000"/>
      <name val="Courier New"/>
    </font>
    <font>
      <sz val="14.0"/>
      <color theme="1"/>
      <name val="Arial"/>
    </font>
    <font>
      <sz val="14.0"/>
      <color theme="1"/>
      <name val="Inconsolata"/>
    </font>
    <font>
      <b/>
      <sz val="14.0"/>
      <color rgb="FFFFFFFF"/>
      <name val="Calibri"/>
    </font>
    <font>
      <b/>
      <color theme="1"/>
      <name val="Arial"/>
      <scheme val="minor"/>
    </font>
    <font>
      <color rgb="FF0070C0"/>
      <name val="Calibri"/>
    </font>
    <font>
      <color rgb="FF00B050"/>
      <name val="Calibri"/>
    </font>
    <font>
      <color theme="1"/>
      <name val="Calibri"/>
    </font>
    <font>
      <color rgb="FF222222"/>
      <name val="Arial"/>
    </font>
    <font>
      <color theme="1"/>
      <name val="Arial"/>
      <scheme val="minor"/>
    </font>
    <font>
      <b/>
      <sz val="14.0"/>
      <color rgb="FF000000"/>
      <name val="Arial"/>
      <scheme val="minor"/>
    </font>
    <font>
      <b/>
      <sz val="14.0"/>
      <color theme="1"/>
      <name val="Arial"/>
      <scheme val="minor"/>
    </font>
    <font>
      <b/>
      <sz val="18.0"/>
      <color theme="1"/>
      <name val="Arial"/>
      <scheme val="minor"/>
    </font>
    <font>
      <color theme="1"/>
      <name val="Arial"/>
    </font>
    <font>
      <b/>
      <sz val="20.0"/>
      <color rgb="FF000000"/>
      <name val="Arial"/>
      <scheme val="minor"/>
    </font>
    <font>
      <sz val="10.0"/>
      <color rgb="FF1155CC"/>
      <name val="Calibri"/>
    </font>
    <font>
      <b/>
      <sz val="15.0"/>
      <color rgb="FFFFFFFF"/>
      <name val="Calibri"/>
    </font>
    <font>
      <color rgb="FFC5D9F1"/>
      <name val="Calibri"/>
    </font>
    <font>
      <b/>
      <color rgb="FF000000"/>
      <name val="Arial"/>
    </font>
    <font>
      <b/>
      <sz val="15.0"/>
      <color rgb="FF000000"/>
      <name val="Calibri"/>
    </font>
    <font>
      <color rgb="FFC5D9F1"/>
      <name val="Arial"/>
      <scheme val="minor"/>
    </font>
    <font>
      <sz val="10.0"/>
      <color theme="1"/>
      <name val="Calibri"/>
    </font>
    <font>
      <b/>
      <sz val="17.0"/>
      <color theme="1"/>
      <name val="Calibri"/>
    </font>
    <font>
      <b/>
      <color rgb="FF3C78D8"/>
      <name val="Calibri"/>
    </font>
    <font>
      <b/>
      <sz val="20.0"/>
      <color theme="1"/>
      <name val="Arial"/>
    </font>
    <font>
      <b/>
      <color theme="1"/>
      <name val="Calibri"/>
    </font>
    <font>
      <b/>
      <color theme="1"/>
      <name val="Arial"/>
    </font>
    <font>
      <b/>
      <sz val="12.0"/>
      <color rgb="FFCC0000"/>
      <name val="Calibri"/>
    </font>
    <font>
      <b/>
      <color rgb="FF0070C0"/>
      <name val="Calibri"/>
    </font>
    <font>
      <b/>
      <sz val="10.0"/>
      <color theme="1"/>
      <name val="Calibri"/>
    </font>
    <font>
      <sz val="12.0"/>
      <color theme="1"/>
      <name val="Arial"/>
      <scheme val="minor"/>
    </font>
    <font>
      <b/>
      <sz val="12.0"/>
      <color rgb="FFFF0000"/>
      <name val="Calibri"/>
    </font>
    <font>
      <b/>
      <sz val="10.0"/>
      <color rgb="FFFF0000"/>
      <name val="Calibri"/>
    </font>
    <font>
      <b/>
      <color rgb="FFFF0000"/>
      <name val="Calibri"/>
    </font>
    <font>
      <sz val="10.0"/>
      <color rgb="FF000000"/>
      <name val="Calibri"/>
    </font>
    <font>
      <sz val="10.0"/>
      <color rgb="FF0070C0"/>
      <name val="Calibri"/>
    </font>
    <font>
      <b/>
      <sz val="10.0"/>
      <color rgb="FF000000"/>
      <name val="Calibri"/>
    </font>
    <font>
      <sz val="10.0"/>
      <color rgb="FFFF0000"/>
      <name val="Calibri"/>
    </font>
    <font>
      <sz val="17.0"/>
      <color theme="1"/>
      <name val="Arial"/>
      <scheme val="minor"/>
    </font>
    <font>
      <b/>
      <sz val="12.0"/>
      <color theme="1"/>
      <name val="Calibri"/>
    </font>
    <font>
      <b/>
      <sz val="14.0"/>
      <color theme="1"/>
      <name val="Calibri"/>
    </font>
    <font>
      <b/>
      <sz val="10.0"/>
      <color rgb="FF0070C0"/>
      <name val="Calibri"/>
    </font>
    <font>
      <b/>
      <sz val="12.0"/>
      <color theme="1"/>
      <name val="Arial"/>
      <scheme val="minor"/>
    </font>
    <font>
      <color rgb="FFFF0000"/>
      <name val="Arial"/>
      <scheme val="minor"/>
    </font>
  </fonts>
  <fills count="27">
    <fill>
      <patternFill patternType="none"/>
    </fill>
    <fill>
      <patternFill patternType="lightGray"/>
    </fill>
    <fill>
      <patternFill patternType="solid">
        <fgColor rgb="FFC5D9F1"/>
        <bgColor rgb="FFC5D9F1"/>
      </patternFill>
    </fill>
    <fill>
      <patternFill patternType="solid">
        <fgColor rgb="FF0F243E"/>
        <bgColor rgb="FF0F243E"/>
      </patternFill>
    </fill>
    <fill>
      <patternFill patternType="solid">
        <fgColor rgb="FFFFFFFF"/>
        <bgColor rgb="FFFFFFFF"/>
      </patternFill>
    </fill>
    <fill>
      <patternFill patternType="solid">
        <fgColor rgb="FFB8CCE4"/>
        <bgColor rgb="FFB8CCE4"/>
      </patternFill>
    </fill>
    <fill>
      <patternFill patternType="solid">
        <fgColor rgb="FF95B3D7"/>
        <bgColor rgb="FF95B3D7"/>
      </patternFill>
    </fill>
    <fill>
      <patternFill patternType="solid">
        <fgColor rgb="FF8DB4E2"/>
        <bgColor rgb="FF8DB4E2"/>
      </patternFill>
    </fill>
    <fill>
      <patternFill patternType="solid">
        <fgColor rgb="FF632523"/>
        <bgColor rgb="FF632523"/>
      </patternFill>
    </fill>
    <fill>
      <patternFill patternType="solid">
        <fgColor rgb="FF16365C"/>
        <bgColor rgb="FF16365C"/>
      </patternFill>
    </fill>
    <fill>
      <patternFill patternType="solid">
        <fgColor rgb="FFDA9694"/>
        <bgColor rgb="FFDA9694"/>
      </patternFill>
    </fill>
    <fill>
      <patternFill patternType="solid">
        <fgColor rgb="FFF8F8F8"/>
        <bgColor rgb="FFF8F8F8"/>
      </patternFill>
    </fill>
    <fill>
      <patternFill patternType="solid">
        <fgColor rgb="FF9FC5E8"/>
        <bgColor rgb="FF9FC5E8"/>
      </patternFill>
    </fill>
    <fill>
      <patternFill patternType="solid">
        <fgColor theme="0"/>
        <bgColor theme="0"/>
      </patternFill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  <fill>
      <patternFill patternType="solid">
        <fgColor rgb="FF4A86E8"/>
        <bgColor rgb="FF4A86E8"/>
      </patternFill>
    </fill>
    <fill>
      <patternFill patternType="solid">
        <fgColor rgb="FF00FFFF"/>
        <bgColor rgb="FF00FFFF"/>
      </patternFill>
    </fill>
    <fill>
      <patternFill patternType="solid">
        <fgColor rgb="FF073763"/>
        <bgColor rgb="FF073763"/>
      </patternFill>
    </fill>
    <fill>
      <patternFill patternType="solid">
        <fgColor rgb="FFFFE599"/>
        <bgColor rgb="FFFFE599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FF0000"/>
        <bgColor rgb="FFFF0000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FAFAFA"/>
        <bgColor rgb="FFFAFAFA"/>
      </patternFill>
    </fill>
    <fill>
      <patternFill patternType="solid">
        <fgColor rgb="FFFFFF00"/>
        <bgColor rgb="FFFFFF00"/>
      </patternFill>
    </fill>
  </fills>
  <borders count="20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</border>
  </borders>
  <cellStyleXfs count="1">
    <xf borderId="0" fillId="0" fontId="0" numFmtId="0" applyAlignment="1" applyFont="1"/>
  </cellStyleXfs>
  <cellXfs count="58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0"/>
    </xf>
    <xf borderId="2" fillId="0" fontId="1" numFmtId="0" xfId="0" applyAlignment="1" applyBorder="1" applyFont="1">
      <alignment horizontal="center" shrinkToFit="0" wrapText="0"/>
    </xf>
    <xf borderId="2" fillId="0" fontId="1" numFmtId="0" xfId="0" applyAlignment="1" applyBorder="1" applyFont="1">
      <alignment shrinkToFit="0" wrapText="0"/>
    </xf>
    <xf borderId="3" fillId="0" fontId="1" numFmtId="0" xfId="0" applyAlignment="1" applyBorder="1" applyFont="1">
      <alignment shrinkToFit="0" wrapText="0"/>
    </xf>
    <xf borderId="0" fillId="0" fontId="1" numFmtId="0" xfId="0" applyAlignment="1" applyFont="1">
      <alignment shrinkToFit="0" wrapText="0"/>
    </xf>
    <xf borderId="4" fillId="0" fontId="1" numFmtId="0" xfId="0" applyAlignment="1" applyBorder="1" applyFont="1">
      <alignment shrinkToFit="0" wrapText="0"/>
    </xf>
    <xf borderId="0" fillId="2" fontId="2" numFmtId="0" xfId="0" applyAlignment="1" applyFill="1" applyFont="1">
      <alignment horizontal="center" readingOrder="0" vertical="bottom"/>
    </xf>
    <xf borderId="0" fillId="0" fontId="1" numFmtId="0" xfId="0" applyAlignment="1" applyFont="1">
      <alignment horizontal="center" shrinkToFit="0" wrapText="0"/>
    </xf>
    <xf borderId="0" fillId="0" fontId="3" numFmtId="0" xfId="0" applyAlignment="1" applyFont="1">
      <alignment horizontal="left" vertical="bottom"/>
    </xf>
    <xf borderId="5" fillId="0" fontId="1" numFmtId="0" xfId="0" applyAlignment="1" applyBorder="1" applyFont="1">
      <alignment shrinkToFit="0" wrapText="0"/>
    </xf>
    <xf borderId="0" fillId="0" fontId="3" numFmtId="0" xfId="0" applyAlignment="1" applyFont="1">
      <alignment horizontal="center" vertical="bottom"/>
    </xf>
    <xf borderId="4" fillId="0" fontId="1" numFmtId="0" xfId="0" applyAlignment="1" applyBorder="1" applyFont="1">
      <alignment readingOrder="0" shrinkToFit="0" wrapText="0"/>
    </xf>
    <xf borderId="4" fillId="0" fontId="4" numFmtId="0" xfId="0" applyAlignment="1" applyBorder="1" applyFont="1">
      <alignment horizontal="center" readingOrder="0" shrinkToFit="0" vertical="center" wrapText="0"/>
    </xf>
    <xf borderId="0" fillId="3" fontId="5" numFmtId="0" xfId="0" applyAlignment="1" applyFill="1" applyFont="1">
      <alignment horizontal="center" readingOrder="0" shrinkToFit="0" wrapText="0"/>
    </xf>
    <xf borderId="5" fillId="0" fontId="6" numFmtId="0" xfId="0" applyBorder="1" applyFont="1"/>
    <xf borderId="4" fillId="0" fontId="7" numFmtId="0" xfId="0" applyAlignment="1" applyBorder="1" applyFont="1">
      <alignment shrinkToFit="0" wrapText="0"/>
    </xf>
    <xf borderId="0" fillId="0" fontId="8" numFmtId="0" xfId="0" applyAlignment="1" applyFont="1">
      <alignment readingOrder="0" shrinkToFit="0" wrapText="1"/>
    </xf>
    <xf borderId="0" fillId="2" fontId="7" numFmtId="0" xfId="0" applyAlignment="1" applyFill="1" applyFont="1">
      <alignment horizontal="left" readingOrder="0" shrinkToFit="0" wrapText="0"/>
    </xf>
    <xf borderId="4" fillId="0" fontId="6" numFmtId="0" xfId="0" applyBorder="1" applyFont="1"/>
    <xf borderId="0" fillId="0" fontId="8" numFmtId="0" xfId="0" applyAlignment="1" applyFont="1">
      <alignment horizontal="left" vertical="bottom"/>
    </xf>
    <xf borderId="0" fillId="0" fontId="9" numFmtId="0" xfId="0" applyAlignment="1" applyFont="1">
      <alignment horizontal="left" vertical="bottom"/>
    </xf>
    <xf borderId="0" fillId="0" fontId="8" numFmtId="0" xfId="0" applyAlignment="1" applyFont="1">
      <alignment horizontal="center" readingOrder="0"/>
    </xf>
    <xf borderId="0" fillId="0" fontId="9" numFmtId="0" xfId="0" applyAlignment="1" applyFont="1">
      <alignment horizontal="center"/>
    </xf>
    <xf borderId="0" fillId="0" fontId="8" numFmtId="0" xfId="0" applyAlignment="1" applyFont="1">
      <alignment horizontal="center"/>
    </xf>
    <xf borderId="0" fillId="0" fontId="8" numFmtId="0" xfId="0" applyAlignment="1" applyFont="1">
      <alignment horizontal="right" readingOrder="0"/>
    </xf>
    <xf borderId="5" fillId="2" fontId="1" numFmtId="4" xfId="0" applyAlignment="1" applyBorder="1" applyFill="1" applyFont="1" applyNumberFormat="1">
      <alignment horizontal="right" readingOrder="0" shrinkToFit="0" wrapText="0"/>
    </xf>
    <xf borderId="0" fillId="0" fontId="8" numFmtId="0" xfId="0" applyAlignment="1" applyFont="1">
      <alignment horizontal="left" readingOrder="0" vertical="bottom"/>
    </xf>
    <xf borderId="0" fillId="4" fontId="10" numFmtId="0" xfId="0" applyAlignment="1" applyFill="1" applyFont="1">
      <alignment horizontal="center" readingOrder="0"/>
    </xf>
    <xf borderId="4" fillId="0" fontId="4" numFmtId="0" xfId="0" applyAlignment="1" applyBorder="1" applyFont="1">
      <alignment readingOrder="0" shrinkToFit="0" wrapText="0"/>
    </xf>
    <xf borderId="0" fillId="4" fontId="10" numFmtId="164" xfId="0" applyAlignment="1" applyFill="1" applyFont="1" applyNumberFormat="1">
      <alignment readingOrder="0"/>
    </xf>
    <xf borderId="0" fillId="5" fontId="7" numFmtId="0" xfId="0" applyAlignment="1" applyFill="1" applyFont="1">
      <alignment horizontal="left" shrinkToFit="0" wrapText="0"/>
    </xf>
    <xf borderId="0" fillId="0" fontId="10" numFmtId="164" xfId="0" applyAlignment="1" applyFont="1" applyNumberFormat="1">
      <alignment horizontal="right" readingOrder="0" vertical="bottom"/>
    </xf>
    <xf borderId="5" fillId="5" fontId="1" numFmtId="4" xfId="0" applyAlignment="1" applyBorder="1" applyFill="1" applyFont="1" applyNumberFormat="1">
      <alignment shrinkToFit="0" wrapText="0"/>
    </xf>
    <xf borderId="5" fillId="5" fontId="1" numFmtId="0" xfId="0" applyAlignment="1" applyBorder="1" applyFill="1" applyFont="1">
      <alignment shrinkToFit="0" wrapText="0"/>
    </xf>
    <xf borderId="0" fillId="0" fontId="9" numFmtId="0" xfId="0" applyAlignment="1" applyFont="1">
      <alignment horizontal="center" vertical="bottom"/>
    </xf>
    <xf borderId="0" fillId="6" fontId="7" numFmtId="0" xfId="0" applyAlignment="1" applyFill="1" applyFont="1">
      <alignment horizontal="left" readingOrder="0" shrinkToFit="0" wrapText="0"/>
    </xf>
    <xf borderId="5" fillId="6" fontId="1" numFmtId="4" xfId="0" applyAlignment="1" applyBorder="1" applyFill="1" applyFont="1" applyNumberFormat="1">
      <alignment horizontal="right" readingOrder="0" shrinkToFit="0" wrapText="0"/>
    </xf>
    <xf borderId="0" fillId="0" fontId="10" numFmtId="165" xfId="0" applyAlignment="1" applyFont="1" applyNumberFormat="1">
      <alignment horizontal="left" readingOrder="0" vertical="bottom"/>
    </xf>
    <xf borderId="0" fillId="0" fontId="7" numFmtId="0" xfId="0" applyAlignment="1" applyFont="1">
      <alignment horizontal="left" shrinkToFit="0" wrapText="0"/>
    </xf>
    <xf borderId="4" fillId="0" fontId="1" numFmtId="4" xfId="0" applyAlignment="1" applyBorder="1" applyFont="1" applyNumberFormat="1">
      <alignment readingOrder="0" shrinkToFit="0" wrapText="0"/>
    </xf>
    <xf borderId="0" fillId="0" fontId="7" numFmtId="3" xfId="0" applyAlignment="1" applyFont="1" applyNumberFormat="1">
      <alignment horizontal="center" readingOrder="0" shrinkToFit="0" wrapText="0"/>
    </xf>
    <xf borderId="4" fillId="7" fontId="11" numFmtId="0" xfId="0" applyAlignment="1" applyBorder="1" applyFill="1" applyFont="1">
      <alignment horizontal="center" readingOrder="0"/>
    </xf>
    <xf borderId="0" fillId="0" fontId="7" numFmtId="0" xfId="0" applyAlignment="1" applyFont="1">
      <alignment horizontal="center" readingOrder="0" shrinkToFit="0" wrapText="0"/>
    </xf>
    <xf borderId="0" fillId="0" fontId="8" numFmtId="0" xfId="0" applyAlignment="1" applyFont="1">
      <alignment readingOrder="0"/>
    </xf>
    <xf borderId="0" fillId="0" fontId="7" numFmtId="0" xfId="0" applyAlignment="1" applyFont="1">
      <alignment shrinkToFit="0" wrapText="0"/>
    </xf>
    <xf borderId="0" fillId="0" fontId="12" numFmtId="0" xfId="0" applyFont="1"/>
    <xf borderId="6" fillId="8" fontId="5" numFmtId="0" xfId="0" applyAlignment="1" applyBorder="1" applyFill="1" applyFont="1">
      <alignment horizontal="center" readingOrder="0" shrinkToFit="0" wrapText="0"/>
    </xf>
    <xf borderId="7" fillId="0" fontId="6" numFmtId="0" xfId="0" applyBorder="1" applyFont="1"/>
    <xf borderId="8" fillId="9" fontId="5" numFmtId="0" xfId="0" applyAlignment="1" applyBorder="1" applyFill="1" applyFont="1">
      <alignment horizontal="center" readingOrder="0" shrinkToFit="0" wrapText="0"/>
    </xf>
    <xf borderId="9" fillId="9" fontId="5" numFmtId="0" xfId="0" applyAlignment="1" applyBorder="1" applyFill="1" applyFont="1">
      <alignment horizontal="center" readingOrder="0" shrinkToFit="0" wrapText="0"/>
    </xf>
    <xf borderId="0" fillId="0" fontId="7" numFmtId="0" xfId="0" applyAlignment="1" applyFont="1">
      <alignment horizontal="center" shrinkToFit="0" wrapText="0"/>
    </xf>
    <xf borderId="10" fillId="10" fontId="5" numFmtId="0" xfId="0" applyAlignment="1" applyBorder="1" applyFill="1" applyFont="1">
      <alignment horizontal="center" readingOrder="0" shrinkToFit="0" wrapText="0"/>
    </xf>
    <xf borderId="5" fillId="0" fontId="5" numFmtId="0" xfId="0" applyAlignment="1" applyBorder="1" applyFont="1">
      <alignment horizontal="center" shrinkToFit="0" wrapText="0"/>
    </xf>
    <xf borderId="11" fillId="10" fontId="5" numFmtId="0" xfId="0" applyAlignment="1" applyBorder="1" applyFill="1" applyFont="1">
      <alignment horizontal="center" readingOrder="0" shrinkToFit="0" wrapText="0"/>
    </xf>
    <xf borderId="10" fillId="11" fontId="1" numFmtId="0" xfId="0" applyAlignment="1" applyBorder="1" applyFill="1" applyFont="1">
      <alignment horizontal="left" readingOrder="0" shrinkToFit="0" wrapText="0"/>
    </xf>
    <xf borderId="7" fillId="11" fontId="1" numFmtId="0" xfId="0" applyAlignment="1" applyBorder="1" applyFill="1" applyFont="1">
      <alignment horizontal="center" readingOrder="0" shrinkToFit="0" wrapText="0"/>
    </xf>
    <xf borderId="10" fillId="12" fontId="1" numFmtId="0" xfId="0" applyAlignment="1" applyBorder="1" applyFill="1" applyFont="1">
      <alignment horizontal="left" readingOrder="0" shrinkToFit="0" wrapText="0"/>
    </xf>
    <xf borderId="7" fillId="0" fontId="13" numFmtId="4" xfId="0" applyAlignment="1" applyBorder="1" applyFont="1" applyNumberFormat="1">
      <alignment horizontal="right" readingOrder="0" shrinkToFit="0" wrapText="0"/>
    </xf>
    <xf borderId="7" fillId="12" fontId="1" numFmtId="0" xfId="0" applyAlignment="1" applyBorder="1" applyFill="1" applyFont="1">
      <alignment horizontal="center" readingOrder="0" shrinkToFit="0" wrapText="0"/>
    </xf>
    <xf borderId="0" fillId="0" fontId="13" numFmtId="0" xfId="0" applyAlignment="1" applyFont="1">
      <alignment shrinkToFit="0" wrapText="0"/>
    </xf>
    <xf borderId="10" fillId="11" fontId="13" numFmtId="0" xfId="0" applyAlignment="1" applyBorder="1" applyFill="1" applyFont="1">
      <alignment shrinkToFit="0" wrapText="0"/>
    </xf>
    <xf borderId="5" fillId="11" fontId="13" numFmtId="0" xfId="0" applyAlignment="1" applyBorder="1" applyFill="1" applyFont="1">
      <alignment shrinkToFit="0" wrapText="0"/>
    </xf>
    <xf borderId="10" fillId="4" fontId="1" numFmtId="0" xfId="0" applyAlignment="1" applyBorder="1" applyFill="1" applyFont="1">
      <alignment horizontal="left" readingOrder="0" shrinkToFit="0" wrapText="0"/>
    </xf>
    <xf borderId="7" fillId="4" fontId="1" numFmtId="0" xfId="0" applyAlignment="1" applyBorder="1" applyFill="1" applyFont="1">
      <alignment horizontal="center" readingOrder="0" shrinkToFit="0" wrapText="0"/>
    </xf>
    <xf borderId="7" fillId="12" fontId="13" numFmtId="4" xfId="0" applyAlignment="1" applyBorder="1" applyFill="1" applyFont="1" applyNumberFormat="1">
      <alignment horizontal="right" readingOrder="0" shrinkToFit="0" wrapText="0"/>
    </xf>
    <xf borderId="0" fillId="0" fontId="14" numFmtId="0" xfId="0" applyAlignment="1" applyFont="1">
      <alignment shrinkToFit="0" wrapText="0"/>
    </xf>
    <xf borderId="0" fillId="12" fontId="13" numFmtId="0" xfId="0" applyAlignment="1" applyFill="1" applyFont="1">
      <alignment shrinkToFit="0" wrapText="0"/>
    </xf>
    <xf borderId="10" fillId="11" fontId="14" numFmtId="0" xfId="0" applyAlignment="1" applyBorder="1" applyFill="1" applyFont="1">
      <alignment shrinkToFit="0" wrapText="0"/>
    </xf>
    <xf borderId="5" fillId="11" fontId="14" numFmtId="0" xfId="0" applyAlignment="1" applyBorder="1" applyFill="1" applyFont="1">
      <alignment shrinkToFit="0" wrapText="0"/>
    </xf>
    <xf borderId="11" fillId="12" fontId="13" numFmtId="0" xfId="0" applyAlignment="1" applyBorder="1" applyFill="1" applyFont="1">
      <alignment shrinkToFit="0" wrapText="0"/>
    </xf>
    <xf borderId="11" fillId="11" fontId="13" numFmtId="0" xfId="0" applyAlignment="1" applyBorder="1" applyFill="1" applyFont="1">
      <alignment shrinkToFit="0" wrapText="0"/>
    </xf>
    <xf borderId="11" fillId="12" fontId="13" numFmtId="0" xfId="0" applyAlignment="1" applyBorder="1" applyFill="1" applyFont="1">
      <alignment readingOrder="0" shrinkToFit="0" wrapText="0"/>
    </xf>
    <xf borderId="10" fillId="11" fontId="15" numFmtId="0" xfId="0" applyAlignment="1" applyBorder="1" applyFill="1" applyFont="1">
      <alignment horizontal="left" shrinkToFit="0" wrapText="0"/>
    </xf>
    <xf borderId="7" fillId="11" fontId="15" numFmtId="0" xfId="0" applyAlignment="1" applyBorder="1" applyFill="1" applyFont="1">
      <alignment horizontal="center" shrinkToFit="0" wrapText="0"/>
    </xf>
    <xf borderId="6" fillId="0" fontId="13" numFmtId="0" xfId="0" applyAlignment="1" applyBorder="1" applyFont="1">
      <alignment shrinkToFit="0" wrapText="0"/>
    </xf>
    <xf borderId="10" fillId="11" fontId="13" numFmtId="0" xfId="0" applyAlignment="1" applyBorder="1" applyFill="1" applyFont="1">
      <alignment horizontal="left" shrinkToFit="0" wrapText="0"/>
    </xf>
    <xf borderId="7" fillId="11" fontId="13" numFmtId="0" xfId="0" applyAlignment="1" applyBorder="1" applyFill="1" applyFont="1">
      <alignment horizontal="center" shrinkToFit="0" wrapText="0"/>
    </xf>
    <xf borderId="10" fillId="2" fontId="1" numFmtId="0" xfId="0" applyAlignment="1" applyBorder="1" applyFill="1" applyFont="1">
      <alignment horizontal="left" readingOrder="0" shrinkToFit="0" wrapText="0"/>
    </xf>
    <xf borderId="7" fillId="2" fontId="1" numFmtId="0" xfId="0" applyAlignment="1" applyBorder="1" applyFill="1" applyFont="1">
      <alignment horizontal="center" readingOrder="0" shrinkToFit="0" wrapText="0"/>
    </xf>
    <xf borderId="7" fillId="2" fontId="13" numFmtId="4" xfId="0" applyAlignment="1" applyBorder="1" applyFill="1" applyFont="1" applyNumberFormat="1">
      <alignment horizontal="right" readingOrder="0" shrinkToFit="0" wrapText="0"/>
    </xf>
    <xf borderId="0" fillId="2" fontId="13" numFmtId="0" xfId="0" applyAlignment="1" applyFill="1" applyFont="1">
      <alignment shrinkToFit="0" wrapText="0"/>
    </xf>
    <xf borderId="11" fillId="2" fontId="13" numFmtId="0" xfId="0" applyAlignment="1" applyBorder="1" applyFill="1" applyFont="1">
      <alignment readingOrder="0" shrinkToFit="0" wrapText="0"/>
    </xf>
    <xf borderId="10" fillId="0" fontId="1" numFmtId="0" xfId="0" applyAlignment="1" applyBorder="1" applyFont="1">
      <alignment horizontal="left" readingOrder="0" shrinkToFit="0" wrapText="0"/>
    </xf>
    <xf borderId="7" fillId="0" fontId="1" numFmtId="0" xfId="0" applyAlignment="1" applyBorder="1" applyFont="1">
      <alignment horizontal="center" readingOrder="0" shrinkToFit="0" wrapText="0"/>
    </xf>
    <xf borderId="10" fillId="5" fontId="1" numFmtId="0" xfId="0" applyAlignment="1" applyBorder="1" applyFill="1" applyFont="1">
      <alignment horizontal="left" readingOrder="0" shrinkToFit="0" wrapText="0"/>
    </xf>
    <xf borderId="11" fillId="0" fontId="13" numFmtId="0" xfId="0" applyAlignment="1" applyBorder="1" applyFont="1">
      <alignment readingOrder="0" shrinkToFit="0" wrapText="0"/>
    </xf>
    <xf borderId="7" fillId="5" fontId="1" numFmtId="0" xfId="0" applyAlignment="1" applyBorder="1" applyFill="1" applyFont="1">
      <alignment horizontal="center" readingOrder="0" shrinkToFit="0" wrapText="0"/>
    </xf>
    <xf borderId="10" fillId="0" fontId="13" numFmtId="0" xfId="0" applyAlignment="1" applyBorder="1" applyFont="1">
      <alignment readingOrder="0" shrinkToFit="0" wrapText="0"/>
    </xf>
    <xf borderId="11" fillId="0" fontId="13" numFmtId="0" xfId="0" applyAlignment="1" applyBorder="1" applyFont="1">
      <alignment shrinkToFit="0" wrapText="0"/>
    </xf>
    <xf borderId="12" fillId="2" fontId="13" numFmtId="0" xfId="0" applyAlignment="1" applyBorder="1" applyFill="1" applyFont="1">
      <alignment shrinkToFit="0" wrapText="0"/>
    </xf>
    <xf borderId="9" fillId="0" fontId="6" numFmtId="0" xfId="0" applyBorder="1" applyFont="1"/>
    <xf borderId="12" fillId="0" fontId="13" numFmtId="0" xfId="0" applyAlignment="1" applyBorder="1" applyFont="1">
      <alignment shrinkToFit="0" wrapText="0"/>
    </xf>
    <xf borderId="12" fillId="2" fontId="13" numFmtId="0" xfId="0" applyAlignment="1" applyBorder="1" applyFill="1" applyFont="1">
      <alignment readingOrder="0" shrinkToFit="0" wrapText="0"/>
    </xf>
    <xf borderId="12" fillId="2" fontId="16" numFmtId="0" xfId="0" applyAlignment="1" applyBorder="1" applyFill="1" applyFont="1">
      <alignment readingOrder="0"/>
    </xf>
    <xf borderId="0" fillId="0" fontId="1" numFmtId="166" xfId="0" applyAlignment="1" applyFont="1" applyNumberFormat="1">
      <alignment readingOrder="0" shrinkToFit="0" wrapText="0"/>
    </xf>
    <xf borderId="7" fillId="5" fontId="13" numFmtId="4" xfId="0" applyAlignment="1" applyBorder="1" applyFill="1" applyFont="1" applyNumberFormat="1">
      <alignment horizontal="right" readingOrder="0" shrinkToFit="0" wrapText="0"/>
    </xf>
    <xf borderId="0" fillId="13" fontId="13" numFmtId="0" xfId="0" applyAlignment="1" applyFill="1" applyFont="1">
      <alignment shrinkToFit="0" wrapText="0"/>
    </xf>
    <xf borderId="7" fillId="13" fontId="13" numFmtId="4" xfId="0" applyAlignment="1" applyBorder="1" applyFill="1" applyFont="1" applyNumberFormat="1">
      <alignment horizontal="right" readingOrder="0" shrinkToFit="0" wrapText="0"/>
    </xf>
    <xf borderId="10" fillId="2" fontId="13" numFmtId="0" xfId="0" applyAlignment="1" applyBorder="1" applyFill="1" applyFont="1">
      <alignment readingOrder="0" shrinkToFit="0" wrapText="0"/>
    </xf>
    <xf borderId="10" fillId="13" fontId="1" numFmtId="0" xfId="0" applyAlignment="1" applyBorder="1" applyFill="1" applyFont="1">
      <alignment horizontal="left" readingOrder="0" shrinkToFit="0" wrapText="0"/>
    </xf>
    <xf borderId="7" fillId="13" fontId="1" numFmtId="0" xfId="0" applyAlignment="1" applyBorder="1" applyFill="1" applyFont="1">
      <alignment horizontal="center" readingOrder="0" shrinkToFit="0" wrapText="0"/>
    </xf>
    <xf borderId="7" fillId="4" fontId="13" numFmtId="4" xfId="0" applyAlignment="1" applyBorder="1" applyFill="1" applyFont="1" applyNumberFormat="1">
      <alignment horizontal="right" readingOrder="0" shrinkToFit="0" wrapText="0"/>
    </xf>
    <xf borderId="0" fillId="0" fontId="17" numFmtId="0" xfId="0" applyFont="1"/>
    <xf borderId="10" fillId="14" fontId="1" numFmtId="0" xfId="0" applyAlignment="1" applyBorder="1" applyFill="1" applyFont="1">
      <alignment horizontal="left" readingOrder="0" shrinkToFit="0" wrapText="0"/>
    </xf>
    <xf borderId="7" fillId="14" fontId="1" numFmtId="0" xfId="0" applyAlignment="1" applyBorder="1" applyFill="1" applyFont="1">
      <alignment horizontal="center" readingOrder="0" shrinkToFit="0" wrapText="0"/>
    </xf>
    <xf borderId="7" fillId="14" fontId="13" numFmtId="4" xfId="0" applyAlignment="1" applyBorder="1" applyFill="1" applyFont="1" applyNumberFormat="1">
      <alignment horizontal="right" readingOrder="0" shrinkToFit="0" wrapText="0"/>
    </xf>
    <xf borderId="8" fillId="0" fontId="1" numFmtId="0" xfId="0" applyAlignment="1" applyBorder="1" applyFont="1">
      <alignment readingOrder="0" shrinkToFit="0" wrapText="0"/>
    </xf>
    <xf borderId="8" fillId="0" fontId="1" numFmtId="0" xfId="0" applyAlignment="1" applyBorder="1" applyFont="1">
      <alignment horizontal="center" readingOrder="0" shrinkToFit="0" wrapText="0"/>
    </xf>
    <xf borderId="8" fillId="2" fontId="13" numFmtId="4" xfId="0" applyAlignment="1" applyBorder="1" applyFill="1" applyFont="1" applyNumberFormat="1">
      <alignment horizontal="right" readingOrder="0" shrinkToFit="0" wrapText="0"/>
    </xf>
    <xf borderId="0" fillId="0" fontId="1" numFmtId="0" xfId="0" applyAlignment="1" applyFont="1">
      <alignment readingOrder="0" shrinkToFit="0" wrapText="0"/>
    </xf>
    <xf borderId="0" fillId="13" fontId="13" numFmtId="0" xfId="0" applyAlignment="1" applyFill="1" applyFont="1">
      <alignment readingOrder="0" shrinkToFit="0" wrapText="0"/>
    </xf>
    <xf borderId="10" fillId="15" fontId="1" numFmtId="0" xfId="0" applyAlignment="1" applyBorder="1" applyFill="1" applyFont="1">
      <alignment horizontal="left" readingOrder="0" shrinkToFit="0" wrapText="0"/>
    </xf>
    <xf borderId="7" fillId="15" fontId="1" numFmtId="0" xfId="0" applyAlignment="1" applyBorder="1" applyFill="1" applyFont="1">
      <alignment horizontal="center" readingOrder="0" shrinkToFit="0" wrapText="0"/>
    </xf>
    <xf borderId="8" fillId="15" fontId="17" numFmtId="0" xfId="0" applyAlignment="1" applyBorder="1" applyFill="1" applyFont="1">
      <alignment readingOrder="0"/>
    </xf>
    <xf borderId="7" fillId="15" fontId="13" numFmtId="4" xfId="0" applyAlignment="1" applyBorder="1" applyFill="1" applyFont="1" applyNumberFormat="1">
      <alignment horizontal="right" readingOrder="0" shrinkToFit="0" wrapText="0"/>
    </xf>
    <xf borderId="8" fillId="0" fontId="17" numFmtId="0" xfId="0" applyAlignment="1" applyBorder="1" applyFont="1">
      <alignment readingOrder="0"/>
    </xf>
    <xf borderId="0" fillId="0" fontId="17" numFmtId="4" xfId="0" applyFont="1" applyNumberFormat="1"/>
    <xf borderId="8" fillId="15" fontId="15" numFmtId="0" xfId="0" applyAlignment="1" applyBorder="1" applyFill="1" applyFont="1">
      <alignment readingOrder="0"/>
    </xf>
    <xf borderId="8" fillId="0" fontId="15" numFmtId="0" xfId="0" applyAlignment="1" applyBorder="1" applyFont="1">
      <alignment readingOrder="0"/>
    </xf>
    <xf borderId="4" fillId="0" fontId="18" numFmtId="0" xfId="0" applyAlignment="1" applyBorder="1" applyFont="1">
      <alignment horizontal="center" readingOrder="0" shrinkToFit="0" vertical="center" wrapText="0"/>
    </xf>
    <xf borderId="0" fillId="16" fontId="7" numFmtId="0" xfId="0" applyAlignment="1" applyFill="1" applyFont="1">
      <alignment horizontal="left" readingOrder="0" shrinkToFit="0" wrapText="0"/>
    </xf>
    <xf borderId="10" fillId="2" fontId="1" numFmtId="0" xfId="0" applyAlignment="1" applyBorder="1" applyFill="1" applyFont="1">
      <alignment horizontal="left" shrinkToFit="0" wrapText="0"/>
    </xf>
    <xf borderId="8" fillId="2" fontId="7" numFmtId="0" xfId="0" applyAlignment="1" applyBorder="1" applyFill="1" applyFont="1">
      <alignment horizontal="left" readingOrder="0" shrinkToFit="0" wrapText="0"/>
    </xf>
    <xf borderId="7" fillId="2" fontId="1" numFmtId="0" xfId="0" applyAlignment="1" applyBorder="1" applyFill="1" applyFont="1">
      <alignment horizontal="center" shrinkToFit="0" wrapText="0"/>
    </xf>
    <xf borderId="5" fillId="16" fontId="1" numFmtId="4" xfId="0" applyAlignment="1" applyBorder="1" applyFill="1" applyFont="1" applyNumberFormat="1">
      <alignment horizontal="right" readingOrder="0" shrinkToFit="0" wrapText="0"/>
    </xf>
    <xf borderId="8" fillId="2" fontId="1" numFmtId="4" xfId="0" applyAlignment="1" applyBorder="1" applyFill="1" applyFont="1" applyNumberFormat="1">
      <alignment horizontal="right" readingOrder="0" shrinkToFit="0" wrapText="0"/>
    </xf>
    <xf borderId="8" fillId="5" fontId="7" numFmtId="0" xfId="0" applyAlignment="1" applyBorder="1" applyFill="1" applyFont="1">
      <alignment horizontal="left" shrinkToFit="0" wrapText="0"/>
    </xf>
    <xf borderId="8" fillId="5" fontId="1" numFmtId="0" xfId="0" applyAlignment="1" applyBorder="1" applyFill="1" applyFont="1">
      <alignment shrinkToFit="0" wrapText="0"/>
    </xf>
    <xf borderId="10" fillId="0" fontId="1" numFmtId="0" xfId="0" applyAlignment="1" applyBorder="1" applyFont="1">
      <alignment horizontal="left" shrinkToFit="0" wrapText="0"/>
    </xf>
    <xf borderId="8" fillId="16" fontId="7" numFmtId="0" xfId="0" applyAlignment="1" applyBorder="1" applyFill="1" applyFont="1">
      <alignment horizontal="left" readingOrder="0" shrinkToFit="0" wrapText="0"/>
    </xf>
    <xf borderId="7" fillId="0" fontId="1" numFmtId="0" xfId="0" applyAlignment="1" applyBorder="1" applyFont="1">
      <alignment horizontal="center" shrinkToFit="0" wrapText="0"/>
    </xf>
    <xf borderId="8" fillId="16" fontId="1" numFmtId="4" xfId="0" applyAlignment="1" applyBorder="1" applyFill="1" applyFont="1" applyNumberFormat="1">
      <alignment horizontal="right" readingOrder="0" shrinkToFit="0" wrapText="0"/>
    </xf>
    <xf borderId="10" fillId="0" fontId="1" numFmtId="0" xfId="0" applyAlignment="1" applyBorder="1" applyFont="1">
      <alignment horizontal="left" readingOrder="0" shrinkToFit="0" wrapText="0"/>
    </xf>
    <xf borderId="7" fillId="0" fontId="1" numFmtId="0" xfId="0" applyAlignment="1" applyBorder="1" applyFont="1">
      <alignment horizontal="center" readingOrder="0" shrinkToFit="0" wrapText="0"/>
    </xf>
    <xf borderId="7" fillId="0" fontId="13" numFmtId="4" xfId="0" applyAlignment="1" applyBorder="1" applyFont="1" applyNumberFormat="1">
      <alignment horizontal="right" readingOrder="0" shrinkToFit="0" wrapText="0"/>
    </xf>
    <xf borderId="0" fillId="13" fontId="15" numFmtId="0" xfId="0" applyAlignment="1" applyFill="1" applyFont="1">
      <alignment readingOrder="0" shrinkToFit="0" wrapText="0"/>
    </xf>
    <xf borderId="11" fillId="2" fontId="13" numFmtId="0" xfId="0" applyAlignment="1" applyBorder="1" applyFill="1" applyFont="1">
      <alignment readingOrder="0" shrinkToFit="0" wrapText="0"/>
    </xf>
    <xf borderId="10" fillId="0" fontId="15" numFmtId="0" xfId="0" applyAlignment="1" applyBorder="1" applyFont="1">
      <alignment readingOrder="0"/>
    </xf>
    <xf borderId="7" fillId="0" fontId="15" numFmtId="0" xfId="0" applyAlignment="1" applyBorder="1" applyFont="1">
      <alignment readingOrder="0"/>
    </xf>
    <xf borderId="0" fillId="0" fontId="15" numFmtId="0" xfId="0" applyAlignment="1" applyFont="1">
      <alignment readingOrder="0"/>
    </xf>
    <xf borderId="7" fillId="0" fontId="17" numFmtId="0" xfId="0" applyAlignment="1" applyBorder="1" applyFont="1">
      <alignment readingOrder="0"/>
    </xf>
    <xf borderId="10" fillId="0" fontId="1" numFmtId="0" xfId="0" applyAlignment="1" applyBorder="1" applyFont="1">
      <alignment horizontal="left" shrinkToFit="0" wrapText="0"/>
    </xf>
    <xf borderId="7" fillId="0" fontId="1" numFmtId="0" xfId="0" applyAlignment="1" applyBorder="1" applyFont="1">
      <alignment horizontal="center" shrinkToFit="0" wrapText="0"/>
    </xf>
    <xf borderId="10" fillId="17" fontId="1" numFmtId="0" xfId="0" applyAlignment="1" applyBorder="1" applyFill="1" applyFont="1">
      <alignment horizontal="left" readingOrder="0" shrinkToFit="0" wrapText="0"/>
    </xf>
    <xf borderId="10" fillId="17" fontId="1" numFmtId="0" xfId="0" applyAlignment="1" applyBorder="1" applyFill="1" applyFont="1">
      <alignment horizontal="left" readingOrder="0" shrinkToFit="0" wrapText="0"/>
    </xf>
    <xf borderId="10" fillId="0" fontId="1" numFmtId="0" xfId="0" applyAlignment="1" applyBorder="1" applyFont="1">
      <alignment readingOrder="0" shrinkToFit="0" wrapText="0"/>
    </xf>
    <xf borderId="0" fillId="13" fontId="1" numFmtId="0" xfId="0" applyAlignment="1" applyFill="1" applyFont="1">
      <alignment readingOrder="0" shrinkToFit="0" wrapText="0"/>
    </xf>
    <xf borderId="0" fillId="0" fontId="15" numFmtId="0" xfId="0" applyAlignment="1" applyFont="1">
      <alignment readingOrder="0" shrinkToFit="0" wrapText="0"/>
    </xf>
    <xf borderId="11" fillId="2" fontId="1" numFmtId="0" xfId="0" applyAlignment="1" applyBorder="1" applyFill="1" applyFont="1">
      <alignment readingOrder="0" shrinkToFit="0" wrapText="0"/>
    </xf>
    <xf borderId="10" fillId="0" fontId="1" numFmtId="0" xfId="0" applyAlignment="1" applyBorder="1" applyFont="1">
      <alignment readingOrder="0" shrinkToFit="0" wrapText="0"/>
    </xf>
    <xf borderId="0" fillId="0" fontId="1" numFmtId="0" xfId="0" applyAlignment="1" applyFont="1">
      <alignment readingOrder="0" shrinkToFit="0" wrapText="0"/>
    </xf>
    <xf borderId="8" fillId="0" fontId="1" numFmtId="0" xfId="0" applyAlignment="1" applyBorder="1" applyFont="1">
      <alignment horizontal="left" readingOrder="0" shrinkToFit="0" wrapText="0"/>
    </xf>
    <xf borderId="8" fillId="0" fontId="1" numFmtId="0" xfId="0" applyAlignment="1" applyBorder="1" applyFont="1">
      <alignment horizontal="center" readingOrder="0" shrinkToFit="0" wrapText="0"/>
    </xf>
    <xf borderId="10" fillId="0" fontId="17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8" fillId="17" fontId="1" numFmtId="0" xfId="0" applyAlignment="1" applyBorder="1" applyFill="1" applyFont="1">
      <alignment horizontal="left" readingOrder="0" shrinkToFit="0" wrapText="0"/>
    </xf>
    <xf borderId="8" fillId="0" fontId="1" numFmtId="0" xfId="0" applyAlignment="1" applyBorder="1" applyFont="1">
      <alignment horizontal="left" readingOrder="0" shrinkToFit="0" wrapText="0"/>
    </xf>
    <xf borderId="11" fillId="4" fontId="13" numFmtId="0" xfId="0" applyAlignment="1" applyBorder="1" applyFill="1" applyFont="1">
      <alignment readingOrder="0" shrinkToFit="0" wrapText="0"/>
    </xf>
    <xf borderId="0" fillId="0" fontId="19" numFmtId="0" xfId="0" applyAlignment="1" applyFont="1">
      <alignment horizontal="center" readingOrder="0"/>
    </xf>
    <xf borderId="8" fillId="16" fontId="17" numFmtId="0" xfId="0" applyBorder="1" applyFill="1" applyFont="1"/>
    <xf borderId="8" fillId="17" fontId="1" numFmtId="0" xfId="0" applyAlignment="1" applyBorder="1" applyFill="1" applyFont="1">
      <alignment horizontal="left" readingOrder="0" shrinkToFit="0" wrapText="0"/>
    </xf>
    <xf borderId="8" fillId="16" fontId="17" numFmtId="4" xfId="0" applyBorder="1" applyFill="1" applyFont="1" applyNumberFormat="1"/>
    <xf borderId="8" fillId="0" fontId="15" numFmtId="0" xfId="0" applyAlignment="1" applyBorder="1" applyFont="1">
      <alignment vertical="bottom"/>
    </xf>
    <xf borderId="9" fillId="0" fontId="15" numFmtId="0" xfId="0" applyAlignment="1" applyBorder="1" applyFont="1">
      <alignment horizontal="center" vertical="bottom"/>
    </xf>
    <xf borderId="0" fillId="0" fontId="20" numFmtId="0" xfId="0" applyAlignment="1" applyFont="1">
      <alignment horizontal="center" readingOrder="0"/>
    </xf>
    <xf borderId="9" fillId="0" fontId="13" numFmtId="4" xfId="0" applyAlignment="1" applyBorder="1" applyFont="1" applyNumberFormat="1">
      <alignment horizontal="right" vertical="bottom"/>
    </xf>
    <xf borderId="0" fillId="16" fontId="17" numFmtId="0" xfId="0" applyFill="1" applyFont="1"/>
    <xf borderId="5" fillId="4" fontId="15" numFmtId="0" xfId="0" applyAlignment="1" applyBorder="1" applyFill="1" applyFont="1">
      <alignment readingOrder="0" vertical="bottom"/>
    </xf>
    <xf borderId="13" fillId="2" fontId="15" numFmtId="0" xfId="0" applyAlignment="1" applyBorder="1" applyFill="1" applyFont="1">
      <alignment readingOrder="0" vertical="bottom"/>
    </xf>
    <xf borderId="0" fillId="0" fontId="21" numFmtId="0" xfId="0" applyAlignment="1" applyFont="1">
      <alignment vertical="bottom"/>
    </xf>
    <xf borderId="0" fillId="16" fontId="17" numFmtId="4" xfId="0" applyFill="1" applyFont="1" applyNumberFormat="1"/>
    <xf borderId="10" fillId="0" fontId="15" numFmtId="0" xfId="0" applyAlignment="1" applyBorder="1" applyFont="1">
      <alignment vertical="bottom"/>
    </xf>
    <xf borderId="7" fillId="0" fontId="15" numFmtId="0" xfId="0" applyAlignment="1" applyBorder="1" applyFont="1">
      <alignment horizontal="center" vertical="bottom"/>
    </xf>
    <xf borderId="7" fillId="0" fontId="13" numFmtId="4" xfId="0" applyAlignment="1" applyBorder="1" applyFont="1" applyNumberFormat="1">
      <alignment horizontal="right" vertical="bottom"/>
    </xf>
    <xf borderId="13" fillId="2" fontId="21" numFmtId="0" xfId="0" applyAlignment="1" applyBorder="1" applyFill="1" applyFont="1">
      <alignment vertical="bottom"/>
    </xf>
    <xf borderId="6" fillId="2" fontId="15" numFmtId="0" xfId="0" applyAlignment="1" applyBorder="1" applyFill="1" applyFont="1">
      <alignment vertical="bottom"/>
    </xf>
    <xf borderId="5" fillId="4" fontId="21" numFmtId="0" xfId="0" applyAlignment="1" applyBorder="1" applyFill="1" applyFont="1">
      <alignment vertical="bottom"/>
    </xf>
    <xf borderId="6" fillId="2" fontId="15" numFmtId="0" xfId="0" applyAlignment="1" applyBorder="1" applyFill="1" applyFont="1">
      <alignment readingOrder="0" vertical="bottom"/>
    </xf>
    <xf borderId="6" fillId="2" fontId="21" numFmtId="0" xfId="0" applyAlignment="1" applyBorder="1" applyFill="1" applyFont="1">
      <alignment vertical="bottom"/>
    </xf>
    <xf borderId="7" fillId="0" fontId="15" numFmtId="0" xfId="0" applyAlignment="1" applyBorder="1" applyFont="1">
      <alignment vertical="bottom"/>
    </xf>
    <xf borderId="5" fillId="0" fontId="15" numFmtId="0" xfId="0" applyAlignment="1" applyBorder="1" applyFont="1">
      <alignment readingOrder="0" vertical="bottom"/>
    </xf>
    <xf borderId="6" fillId="2" fontId="21" numFmtId="0" xfId="0" applyAlignment="1" applyBorder="1" applyFill="1" applyFont="1">
      <alignment readingOrder="0" vertical="bottom"/>
    </xf>
    <xf borderId="7" fillId="0" fontId="21" numFmtId="0" xfId="0" applyAlignment="1" applyBorder="1" applyFont="1">
      <alignment vertical="bottom"/>
    </xf>
    <xf borderId="12" fillId="13" fontId="21" numFmtId="0" xfId="0" applyAlignment="1" applyBorder="1" applyFill="1" applyFont="1">
      <alignment vertical="bottom"/>
    </xf>
    <xf borderId="7" fillId="0" fontId="13" numFmtId="4" xfId="0" applyAlignment="1" applyBorder="1" applyFont="1" applyNumberFormat="1">
      <alignment horizontal="right" readingOrder="0" vertical="bottom"/>
    </xf>
    <xf borderId="4" fillId="0" fontId="22" numFmtId="0" xfId="0" applyAlignment="1" applyBorder="1" applyFont="1">
      <alignment horizontal="center" readingOrder="0" shrinkToFit="0" vertical="center" wrapText="0"/>
    </xf>
    <xf borderId="5" fillId="0" fontId="21" numFmtId="0" xfId="0" applyAlignment="1" applyBorder="1" applyFont="1">
      <alignment vertical="bottom"/>
    </xf>
    <xf borderId="8" fillId="13" fontId="15" numFmtId="0" xfId="0" applyAlignment="1" applyBorder="1" applyFill="1" applyFont="1">
      <alignment readingOrder="0" shrinkToFit="0" wrapText="0"/>
    </xf>
    <xf borderId="7" fillId="0" fontId="15" numFmtId="0" xfId="0" applyAlignment="1" applyBorder="1" applyFont="1">
      <alignment horizontal="center" readingOrder="0"/>
    </xf>
    <xf borderId="8" fillId="0" fontId="15" numFmtId="0" xfId="0" applyAlignment="1" applyBorder="1" applyFont="1">
      <alignment vertical="bottom"/>
    </xf>
    <xf borderId="9" fillId="0" fontId="15" numFmtId="0" xfId="0" applyAlignment="1" applyBorder="1" applyFont="1">
      <alignment horizontal="center" vertical="bottom"/>
    </xf>
    <xf borderId="9" fillId="4" fontId="15" numFmtId="0" xfId="0" applyAlignment="1" applyBorder="1" applyFill="1" applyFont="1">
      <alignment vertical="bottom"/>
    </xf>
    <xf borderId="10" fillId="0" fontId="15" numFmtId="0" xfId="0" applyAlignment="1" applyBorder="1" applyFont="1">
      <alignment vertical="bottom"/>
    </xf>
    <xf borderId="7" fillId="0" fontId="15" numFmtId="0" xfId="0" applyAlignment="1" applyBorder="1" applyFont="1">
      <alignment horizontal="center" vertical="bottom"/>
    </xf>
    <xf borderId="7" fillId="0" fontId="15" numFmtId="0" xfId="0" applyAlignment="1" applyBorder="1" applyFont="1">
      <alignment vertical="bottom"/>
    </xf>
    <xf borderId="7" fillId="0" fontId="15" numFmtId="0" xfId="0" applyAlignment="1" applyBorder="1" applyFont="1">
      <alignment horizontal="center" readingOrder="0" vertical="bottom"/>
    </xf>
    <xf borderId="7" fillId="4" fontId="15" numFmtId="0" xfId="0" applyAlignment="1" applyBorder="1" applyFill="1" applyFont="1">
      <alignment vertical="bottom"/>
    </xf>
    <xf borderId="10" fillId="4" fontId="15" numFmtId="0" xfId="0" applyAlignment="1" applyBorder="1" applyFill="1" applyFont="1">
      <alignment vertical="bottom"/>
    </xf>
    <xf borderId="8" fillId="0" fontId="15" numFmtId="0" xfId="0" applyAlignment="1" applyBorder="1" applyFont="1">
      <alignment horizontal="center" readingOrder="0"/>
    </xf>
    <xf borderId="8" fillId="4" fontId="23" numFmtId="4" xfId="0" applyBorder="1" applyFill="1" applyFont="1" applyNumberFormat="1"/>
    <xf borderId="8" fillId="13" fontId="15" numFmtId="0" xfId="0" applyAlignment="1" applyBorder="1" applyFill="1" applyFont="1">
      <alignment readingOrder="0"/>
    </xf>
    <xf borderId="8" fillId="13" fontId="15" numFmtId="0" xfId="0" applyAlignment="1" applyBorder="1" applyFill="1" applyFont="1">
      <alignment horizontal="center" readingOrder="0"/>
    </xf>
    <xf borderId="0" fillId="3" fontId="24" numFmtId="0" xfId="0" applyAlignment="1" applyFill="1" applyFont="1">
      <alignment horizontal="center" readingOrder="0" shrinkToFit="0" vertical="center" wrapText="0"/>
    </xf>
    <xf borderId="11" fillId="2" fontId="25" numFmtId="0" xfId="0" applyAlignment="1" applyBorder="1" applyFill="1" applyFont="1">
      <alignment readingOrder="0" shrinkToFit="0" wrapText="0"/>
    </xf>
    <xf borderId="11" fillId="2" fontId="26" numFmtId="0" xfId="0" applyAlignment="1" applyBorder="1" applyFill="1" applyFont="1">
      <alignment readingOrder="0" shrinkToFit="0" wrapText="0"/>
    </xf>
    <xf borderId="8" fillId="2" fontId="27" numFmtId="0" xfId="0" applyAlignment="1" applyBorder="1" applyFill="1" applyFont="1">
      <alignment horizontal="left" readingOrder="0" shrinkToFit="0" wrapText="0"/>
    </xf>
    <xf borderId="12" fillId="2" fontId="28" numFmtId="0" xfId="0" applyBorder="1" applyFill="1" applyFont="1"/>
    <xf borderId="8" fillId="13" fontId="29" numFmtId="0" xfId="0" applyAlignment="1" applyBorder="1" applyFill="1" applyFont="1">
      <alignment horizontal="left" readingOrder="0"/>
    </xf>
    <xf borderId="12" fillId="2" fontId="27" numFmtId="4" xfId="0" applyAlignment="1" applyBorder="1" applyFill="1" applyFont="1" applyNumberFormat="1">
      <alignment horizontal="right" shrinkToFit="0" wrapText="0"/>
    </xf>
    <xf borderId="8" fillId="13" fontId="29" numFmtId="0" xfId="0" applyAlignment="1" applyBorder="1" applyFill="1" applyFont="1">
      <alignment horizontal="center" readingOrder="0"/>
    </xf>
    <xf borderId="13" fillId="0" fontId="6" numFmtId="0" xfId="0" applyBorder="1" applyFont="1"/>
    <xf borderId="8" fillId="13" fontId="29" numFmtId="0" xfId="0" applyAlignment="1" applyBorder="1" applyFill="1" applyFont="1">
      <alignment horizontal="center" readingOrder="0"/>
    </xf>
    <xf borderId="12" fillId="5" fontId="27" numFmtId="4" xfId="0" applyAlignment="1" applyBorder="1" applyFill="1" applyFont="1" applyNumberFormat="1">
      <alignment shrinkToFit="0" wrapText="0"/>
    </xf>
    <xf borderId="8" fillId="18" fontId="24" numFmtId="0" xfId="0" applyAlignment="1" applyBorder="1" applyFill="1" applyFont="1">
      <alignment horizontal="left" readingOrder="0" shrinkToFit="0" wrapText="0"/>
    </xf>
    <xf borderId="8" fillId="13" fontId="15" numFmtId="0" xfId="0" applyAlignment="1" applyBorder="1" applyFill="1" applyFont="1">
      <alignment vertical="bottom"/>
    </xf>
    <xf borderId="9" fillId="13" fontId="15" numFmtId="0" xfId="0" applyAlignment="1" applyBorder="1" applyFill="1" applyFont="1">
      <alignment horizontal="center" vertical="bottom"/>
    </xf>
    <xf borderId="9" fillId="13" fontId="13" numFmtId="4" xfId="0" applyAlignment="1" applyBorder="1" applyFill="1" applyFont="1" applyNumberFormat="1">
      <alignment horizontal="right" vertical="bottom"/>
    </xf>
    <xf borderId="8" fillId="13" fontId="15" numFmtId="0" xfId="0" applyAlignment="1" applyBorder="1" applyFill="1" applyFont="1">
      <alignment readingOrder="0" vertical="bottom"/>
    </xf>
    <xf borderId="12" fillId="18" fontId="24" numFmtId="4" xfId="0" applyAlignment="1" applyBorder="1" applyFill="1" applyFont="1" applyNumberFormat="1">
      <alignment horizontal="right" readingOrder="0" shrinkToFit="0" wrapText="0"/>
    </xf>
    <xf borderId="13" fillId="13" fontId="15" numFmtId="0" xfId="0" applyAlignment="1" applyBorder="1" applyFill="1" applyFont="1">
      <alignment readingOrder="0" vertical="bottom"/>
    </xf>
    <xf borderId="0" fillId="0" fontId="22" numFmtId="0" xfId="0" applyAlignment="1" applyFont="1">
      <alignment horizontal="center" readingOrder="0" shrinkToFit="0" vertical="center" wrapText="0"/>
    </xf>
    <xf borderId="10" fillId="13" fontId="15" numFmtId="0" xfId="0" applyAlignment="1" applyBorder="1" applyFill="1" applyFont="1">
      <alignment vertical="bottom"/>
    </xf>
    <xf borderId="7" fillId="13" fontId="15" numFmtId="0" xfId="0" applyAlignment="1" applyBorder="1" applyFill="1" applyFont="1">
      <alignment horizontal="center" vertical="bottom"/>
    </xf>
    <xf borderId="7" fillId="13" fontId="13" numFmtId="4" xfId="0" applyAlignment="1" applyBorder="1" applyFill="1" applyFont="1" applyNumberFormat="1">
      <alignment horizontal="right" vertical="bottom"/>
    </xf>
    <xf borderId="12" fillId="0" fontId="30" numFmtId="0" xfId="0" applyAlignment="1" applyBorder="1" applyFont="1">
      <alignment horizontal="center" readingOrder="0" vertical="center"/>
    </xf>
    <xf borderId="12" fillId="13" fontId="15" numFmtId="0" xfId="0" applyAlignment="1" applyBorder="1" applyFill="1" applyFont="1">
      <alignment vertical="bottom"/>
    </xf>
    <xf borderId="4" fillId="0" fontId="1" numFmtId="4" xfId="0" applyAlignment="1" applyBorder="1" applyFont="1" applyNumberFormat="1">
      <alignment readingOrder="0" shrinkToFit="0" vertical="center" wrapText="0"/>
    </xf>
    <xf borderId="0" fillId="0" fontId="31" numFmtId="3" xfId="0" applyAlignment="1" applyFont="1" applyNumberFormat="1">
      <alignment horizontal="center" readingOrder="0" shrinkToFit="0" vertical="center" wrapText="0"/>
    </xf>
    <xf borderId="0" fillId="0" fontId="7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6" fillId="13" fontId="15" numFmtId="0" xfId="0" applyAlignment="1" applyBorder="1" applyFill="1" applyFont="1">
      <alignment readingOrder="0" vertical="bottom"/>
    </xf>
    <xf borderId="12" fillId="7" fontId="11" numFmtId="0" xfId="0" applyAlignment="1" applyBorder="1" applyFill="1" applyFont="1">
      <alignment horizontal="center" readingOrder="0" shrinkToFit="0" vertical="center" wrapText="1"/>
    </xf>
    <xf borderId="11" fillId="13" fontId="15" numFmtId="0" xfId="0" applyAlignment="1" applyBorder="1" applyFill="1" applyFont="1">
      <alignment vertical="bottom"/>
    </xf>
    <xf borderId="6" fillId="0" fontId="6" numFmtId="0" xfId="0" applyBorder="1" applyFont="1"/>
    <xf borderId="9" fillId="9" fontId="5" numFmtId="0" xfId="0" applyAlignment="1" applyBorder="1" applyFill="1" applyFont="1">
      <alignment horizontal="center" readingOrder="0" shrinkToFit="0" vertical="center" wrapText="1"/>
    </xf>
    <xf borderId="8" fillId="4" fontId="23" numFmtId="4" xfId="0" applyAlignment="1" applyBorder="1" applyFill="1" applyFont="1" applyNumberFormat="1">
      <alignment horizontal="right" readingOrder="0"/>
    </xf>
    <xf borderId="0" fillId="0" fontId="32" numFmtId="0" xfId="0" applyAlignment="1" applyFont="1">
      <alignment horizontal="center" readingOrder="0" vertical="bottom"/>
    </xf>
    <xf borderId="9" fillId="16" fontId="21" numFmtId="0" xfId="0" applyAlignment="1" applyBorder="1" applyFill="1" applyFont="1">
      <alignment vertical="bottom"/>
    </xf>
    <xf borderId="8" fillId="13" fontId="15" numFmtId="0" xfId="0" applyAlignment="1" applyBorder="1" applyFill="1" applyFont="1">
      <alignment horizontal="center" readingOrder="0" shrinkToFit="0" wrapText="0"/>
    </xf>
    <xf borderId="11" fillId="2" fontId="7" numFmtId="0" xfId="0" applyAlignment="1" applyBorder="1" applyFill="1" applyFont="1">
      <alignment readingOrder="0" shrinkToFit="0" wrapText="0"/>
    </xf>
    <xf borderId="9" fillId="16" fontId="21" numFmtId="4" xfId="0" applyAlignment="1" applyBorder="1" applyFill="1" applyFont="1" applyNumberFormat="1">
      <alignment horizontal="right" vertical="bottom"/>
    </xf>
    <xf borderId="6" fillId="0" fontId="21" numFmtId="0" xfId="0" applyAlignment="1" applyBorder="1" applyFont="1">
      <alignment vertical="bottom"/>
    </xf>
    <xf borderId="8" fillId="4" fontId="15" numFmtId="0" xfId="0" applyAlignment="1" applyBorder="1" applyFill="1" applyFont="1">
      <alignment vertical="bottom"/>
    </xf>
    <xf borderId="6" fillId="2" fontId="21" numFmtId="0" xfId="0" applyAlignment="1" applyBorder="1" applyFill="1" applyFont="1">
      <alignment vertical="bottom"/>
    </xf>
    <xf borderId="8" fillId="4" fontId="15" numFmtId="0" xfId="0" applyAlignment="1" applyBorder="1" applyFill="1" applyFont="1">
      <alignment vertical="bottom"/>
    </xf>
    <xf borderId="8" fillId="4" fontId="15" numFmtId="0" xfId="0" applyAlignment="1" applyBorder="1" applyFill="1" applyFont="1">
      <alignment readingOrder="0" vertical="bottom"/>
    </xf>
    <xf borderId="9" fillId="4" fontId="15" numFmtId="0" xfId="0" applyAlignment="1" applyBorder="1" applyFill="1" applyFont="1">
      <alignment horizontal="center" vertical="bottom"/>
    </xf>
    <xf borderId="6" fillId="2" fontId="33" numFmtId="0" xfId="0" applyAlignment="1" applyBorder="1" applyFill="1" applyFont="1">
      <alignment horizontal="center" vertical="bottom"/>
    </xf>
    <xf borderId="8" fillId="0" fontId="15" numFmtId="0" xfId="0" applyAlignment="1" applyBorder="1" applyFont="1">
      <alignment readingOrder="0" vertical="bottom"/>
    </xf>
    <xf borderId="7" fillId="4" fontId="15" numFmtId="0" xfId="0" applyAlignment="1" applyBorder="1" applyFill="1" applyFont="1">
      <alignment horizontal="center" vertical="bottom"/>
    </xf>
    <xf borderId="8" fillId="0" fontId="15" numFmtId="0" xfId="0" applyAlignment="1" applyBorder="1" applyFont="1">
      <alignment horizontal="center" readingOrder="0" vertical="bottom"/>
    </xf>
    <xf borderId="8" fillId="4" fontId="29" numFmtId="0" xfId="0" applyAlignment="1" applyBorder="1" applyFill="1" applyFont="1">
      <alignment readingOrder="0"/>
    </xf>
    <xf borderId="12" fillId="2" fontId="21" numFmtId="0" xfId="0" applyAlignment="1" applyBorder="1" applyFill="1" applyFont="1">
      <alignment vertical="bottom"/>
    </xf>
    <xf borderId="6" fillId="2" fontId="34" numFmtId="0" xfId="0" applyAlignment="1" applyBorder="1" applyFill="1" applyFont="1">
      <alignment readingOrder="0" vertical="bottom"/>
    </xf>
    <xf borderId="8" fillId="0" fontId="15" numFmtId="0" xfId="0" applyAlignment="1" applyBorder="1" applyFont="1">
      <alignment horizontal="center" vertical="bottom"/>
    </xf>
    <xf borderId="12" fillId="13" fontId="35" numFmtId="0" xfId="0" applyAlignment="1" applyBorder="1" applyFill="1" applyFont="1">
      <alignment horizontal="center" readingOrder="0" vertical="bottom"/>
    </xf>
    <xf borderId="8" fillId="13" fontId="35" numFmtId="4" xfId="0" applyAlignment="1" applyBorder="1" applyFill="1" applyFont="1" applyNumberFormat="1">
      <alignment horizontal="right" vertical="bottom"/>
    </xf>
    <xf borderId="12" fillId="13" fontId="15" numFmtId="0" xfId="0" applyAlignment="1" applyBorder="1" applyFill="1" applyFont="1">
      <alignment readingOrder="0" vertical="bottom"/>
    </xf>
    <xf borderId="0" fillId="13" fontId="15" numFmtId="0" xfId="0" applyAlignment="1" applyFill="1" applyFont="1">
      <alignment vertical="bottom"/>
    </xf>
    <xf borderId="0" fillId="13" fontId="15" numFmtId="0" xfId="0" applyAlignment="1" applyFill="1" applyFont="1">
      <alignment horizontal="center" vertical="bottom"/>
    </xf>
    <xf borderId="0" fillId="13" fontId="13" numFmtId="4" xfId="0" applyAlignment="1" applyFill="1" applyFont="1" applyNumberFormat="1">
      <alignment horizontal="right" vertical="bottom"/>
    </xf>
    <xf borderId="0" fillId="13" fontId="15" numFmtId="0" xfId="0" applyAlignment="1" applyFill="1" applyFont="1">
      <alignment readingOrder="0" vertical="bottom"/>
    </xf>
    <xf borderId="6" fillId="8" fontId="5" numFmtId="0" xfId="0" applyAlignment="1" applyBorder="1" applyFill="1" applyFont="1">
      <alignment horizontal="center" readingOrder="0" shrinkToFit="0" vertical="center" wrapText="0"/>
    </xf>
    <xf borderId="8" fillId="9" fontId="5" numFmtId="0" xfId="0" applyAlignment="1" applyBorder="1" applyFill="1" applyFont="1">
      <alignment horizontal="center" readingOrder="0" shrinkToFit="0" vertical="center" wrapText="0"/>
    </xf>
    <xf borderId="9" fillId="9" fontId="5" numFmtId="0" xfId="0" applyAlignment="1" applyBorder="1" applyFill="1" applyFont="1">
      <alignment horizontal="center" readingOrder="0" shrinkToFit="0" vertical="center" wrapText="0"/>
    </xf>
    <xf borderId="11" fillId="10" fontId="5" numFmtId="0" xfId="0" applyAlignment="1" applyBorder="1" applyFill="1" applyFont="1">
      <alignment horizontal="center" readingOrder="0" shrinkToFit="0" vertical="center" wrapText="0"/>
    </xf>
    <xf borderId="8" fillId="4" fontId="15" numFmtId="0" xfId="0" applyAlignment="1" applyBorder="1" applyFill="1" applyFont="1">
      <alignment horizontal="center" readingOrder="0"/>
    </xf>
    <xf borderId="8" fillId="0" fontId="13" numFmtId="4" xfId="0" applyAlignment="1" applyBorder="1" applyFont="1" applyNumberFormat="1">
      <alignment horizontal="right" vertical="bottom"/>
    </xf>
    <xf borderId="8" fillId="4" fontId="15" numFmtId="0" xfId="0" applyAlignment="1" applyBorder="1" applyFill="1" applyFont="1">
      <alignment horizontal="center" vertical="bottom"/>
    </xf>
    <xf borderId="8" fillId="4" fontId="15" numFmtId="0" xfId="0" applyAlignment="1" applyBorder="1" applyFill="1" applyFont="1">
      <alignment horizontal="center" readingOrder="0" vertical="bottom"/>
    </xf>
    <xf borderId="0" fillId="2" fontId="27" numFmtId="4" xfId="0" applyAlignment="1" applyFill="1" applyFont="1" applyNumberFormat="1">
      <alignment horizontal="right" shrinkToFit="0" wrapText="0"/>
    </xf>
    <xf borderId="0" fillId="5" fontId="27" numFmtId="4" xfId="0" applyAlignment="1" applyFill="1" applyFont="1" applyNumberFormat="1">
      <alignment shrinkToFit="0" wrapText="0"/>
    </xf>
    <xf borderId="0" fillId="18" fontId="24" numFmtId="4" xfId="0" applyAlignment="1" applyFill="1" applyFont="1" applyNumberFormat="1">
      <alignment horizontal="right" readingOrder="0" shrinkToFit="0" wrapText="0"/>
    </xf>
    <xf borderId="4" fillId="0" fontId="22" numFmtId="165" xfId="0" applyAlignment="1" applyBorder="1" applyFont="1" applyNumberFormat="1">
      <alignment horizontal="center" readingOrder="0" shrinkToFit="0" vertical="center" wrapText="0"/>
    </xf>
    <xf borderId="0" fillId="0" fontId="17" numFmtId="0" xfId="0" applyAlignment="1" applyFont="1">
      <alignment readingOrder="0"/>
    </xf>
    <xf borderId="7" fillId="2" fontId="34" numFmtId="0" xfId="0" applyAlignment="1" applyBorder="1" applyFill="1" applyFont="1">
      <alignment readingOrder="0" vertical="bottom"/>
    </xf>
    <xf borderId="7" fillId="7" fontId="11" numFmtId="0" xfId="0" applyAlignment="1" applyBorder="1" applyFill="1" applyFont="1">
      <alignment horizontal="center" readingOrder="0" shrinkToFit="0" vertical="center" wrapText="1"/>
    </xf>
    <xf borderId="7" fillId="9" fontId="5" numFmtId="0" xfId="0" applyAlignment="1" applyBorder="1" applyFill="1" applyFont="1">
      <alignment horizontal="center" readingOrder="0" shrinkToFit="0" vertical="center" wrapText="1"/>
    </xf>
    <xf borderId="10" fillId="13" fontId="15" numFmtId="0" xfId="0" applyAlignment="1" applyBorder="1" applyFill="1" applyFont="1">
      <alignment horizontal="center" readingOrder="0" shrinkToFit="0" wrapText="0"/>
    </xf>
    <xf borderId="8" fillId="4" fontId="15" numFmtId="0" xfId="0" applyAlignment="1" applyBorder="1" applyFill="1" applyFont="1">
      <alignment horizontal="center" vertical="bottom"/>
    </xf>
    <xf borderId="7" fillId="4" fontId="15" numFmtId="0" xfId="0" applyAlignment="1" applyBorder="1" applyFill="1" applyFont="1">
      <alignment horizontal="center" readingOrder="0" vertical="bottom"/>
    </xf>
    <xf borderId="8" fillId="19" fontId="29" numFmtId="0" xfId="0" applyAlignment="1" applyBorder="1" applyFill="1" applyFont="1">
      <alignment horizontal="left" readingOrder="0"/>
    </xf>
    <xf borderId="8" fillId="2" fontId="28" numFmtId="0" xfId="0" applyBorder="1" applyFill="1" applyFont="1"/>
    <xf borderId="8" fillId="19" fontId="15" numFmtId="0" xfId="0" applyAlignment="1" applyBorder="1" applyFill="1" applyFont="1">
      <alignment readingOrder="0" vertical="bottom"/>
    </xf>
    <xf borderId="8" fillId="0" fontId="13" numFmtId="4" xfId="0" applyAlignment="1" applyBorder="1" applyFont="1" applyNumberFormat="1">
      <alignment horizontal="right" readingOrder="0" vertical="bottom"/>
    </xf>
    <xf borderId="8" fillId="2" fontId="21" numFmtId="0" xfId="0" applyAlignment="1" applyBorder="1" applyFill="1" applyFont="1">
      <alignment vertical="bottom"/>
    </xf>
    <xf borderId="0" fillId="0" fontId="17" numFmtId="165" xfId="0" applyAlignment="1" applyFont="1" applyNumberFormat="1">
      <alignment readingOrder="0"/>
    </xf>
    <xf borderId="7" fillId="0" fontId="36" numFmtId="4" xfId="0" applyAlignment="1" applyBorder="1" applyFont="1" applyNumberFormat="1">
      <alignment horizontal="right" readingOrder="0" shrinkToFit="0" wrapText="0"/>
    </xf>
    <xf borderId="8" fillId="19" fontId="37" numFmtId="0" xfId="0" applyAlignment="1" applyBorder="1" applyFill="1" applyFont="1">
      <alignment horizontal="left" readingOrder="0"/>
    </xf>
    <xf borderId="8" fillId="13" fontId="35" numFmtId="0" xfId="0" applyAlignment="1" applyBorder="1" applyFill="1" applyFont="1">
      <alignment horizontal="center" readingOrder="0" vertical="bottom"/>
    </xf>
    <xf borderId="7" fillId="13" fontId="15" numFmtId="0" xfId="0" applyAlignment="1" applyBorder="1" applyFill="1" applyFont="1">
      <alignment readingOrder="0" vertical="bottom"/>
    </xf>
    <xf borderId="0" fillId="0" fontId="38" numFmtId="4" xfId="0" applyFont="1" applyNumberFormat="1"/>
    <xf borderId="7" fillId="8" fontId="5" numFmtId="0" xfId="0" applyAlignment="1" applyBorder="1" applyFill="1" applyFont="1">
      <alignment horizontal="center" readingOrder="0" shrinkToFit="0" wrapText="0"/>
    </xf>
    <xf borderId="10" fillId="20" fontId="1" numFmtId="0" xfId="0" applyAlignment="1" applyBorder="1" applyFill="1" applyFont="1">
      <alignment horizontal="left" readingOrder="0" shrinkToFit="0" wrapText="0"/>
    </xf>
    <xf borderId="7" fillId="20" fontId="1" numFmtId="0" xfId="0" applyAlignment="1" applyBorder="1" applyFill="1" applyFont="1">
      <alignment horizontal="center" readingOrder="0" shrinkToFit="0" wrapText="0"/>
    </xf>
    <xf borderId="7" fillId="20" fontId="13" numFmtId="4" xfId="0" applyAlignment="1" applyBorder="1" applyFill="1" applyFont="1" applyNumberFormat="1">
      <alignment horizontal="right" readingOrder="0" shrinkToFit="0" wrapText="0"/>
    </xf>
    <xf borderId="8" fillId="20" fontId="15" numFmtId="0" xfId="0" applyAlignment="1" applyBorder="1" applyFill="1" applyFont="1">
      <alignment horizontal="center" readingOrder="0" shrinkToFit="0" wrapText="0"/>
    </xf>
    <xf borderId="10" fillId="20" fontId="15" numFmtId="0" xfId="0" applyAlignment="1" applyBorder="1" applyFill="1" applyFont="1">
      <alignment horizontal="center" readingOrder="0" shrinkToFit="0" wrapText="0"/>
    </xf>
    <xf borderId="10" fillId="20" fontId="7" numFmtId="0" xfId="0" applyAlignment="1" applyBorder="1" applyFill="1" applyFont="1">
      <alignment readingOrder="0" shrinkToFit="0" wrapText="0"/>
    </xf>
    <xf borderId="10" fillId="2" fontId="26" numFmtId="0" xfId="0" applyAlignment="1" applyBorder="1" applyFill="1" applyFont="1">
      <alignment readingOrder="0" shrinkToFit="0" wrapText="0"/>
    </xf>
    <xf borderId="8" fillId="20" fontId="29" numFmtId="0" xfId="0" applyAlignment="1" applyBorder="1" applyFill="1" applyFont="1">
      <alignment horizontal="left" readingOrder="0"/>
    </xf>
    <xf borderId="8" fillId="20" fontId="29" numFmtId="0" xfId="0" applyAlignment="1" applyBorder="1" applyFill="1" applyFont="1">
      <alignment horizontal="center" readingOrder="0"/>
    </xf>
    <xf borderId="10" fillId="20" fontId="26" numFmtId="0" xfId="0" applyAlignment="1" applyBorder="1" applyFill="1" applyFont="1">
      <alignment readingOrder="0" shrinkToFit="0" wrapText="0"/>
    </xf>
    <xf borderId="10" fillId="4" fontId="15" numFmtId="0" xfId="0" applyAlignment="1" applyBorder="1" applyFill="1" applyFont="1">
      <alignment horizontal="center" vertical="bottom"/>
    </xf>
    <xf borderId="8" fillId="0" fontId="36" numFmtId="4" xfId="0" applyAlignment="1" applyBorder="1" applyFont="1" applyNumberFormat="1">
      <alignment horizontal="right" vertical="bottom"/>
    </xf>
    <xf borderId="8" fillId="20" fontId="15" numFmtId="0" xfId="0" applyAlignment="1" applyBorder="1" applyFill="1" applyFont="1">
      <alignment vertical="bottom"/>
    </xf>
    <xf borderId="8" fillId="20" fontId="15" numFmtId="0" xfId="0" applyAlignment="1" applyBorder="1" applyFill="1" applyFont="1">
      <alignment horizontal="center" vertical="bottom"/>
    </xf>
    <xf borderId="10" fillId="20" fontId="15" numFmtId="0" xfId="0" applyAlignment="1" applyBorder="1" applyFill="1" applyFont="1">
      <alignment horizontal="center" vertical="bottom"/>
    </xf>
    <xf borderId="8" fillId="19" fontId="33" numFmtId="0" xfId="0" applyAlignment="1" applyBorder="1" applyFill="1" applyFont="1">
      <alignment readingOrder="0" vertical="bottom"/>
    </xf>
    <xf borderId="8" fillId="0" fontId="29" numFmtId="0" xfId="0" applyAlignment="1" applyBorder="1" applyFont="1">
      <alignment horizontal="left" readingOrder="0"/>
    </xf>
    <xf borderId="8" fillId="19" fontId="29" numFmtId="0" xfId="0" applyAlignment="1" applyBorder="1" applyFill="1" applyFont="1">
      <alignment horizontal="center" readingOrder="0"/>
    </xf>
    <xf borderId="9" fillId="20" fontId="29" numFmtId="0" xfId="0" applyAlignment="1" applyBorder="1" applyFill="1" applyFont="1">
      <alignment horizontal="center" readingOrder="0"/>
    </xf>
    <xf borderId="10" fillId="2" fontId="13" numFmtId="0" xfId="0" applyAlignment="1" applyBorder="1" applyFill="1" applyFont="1">
      <alignment readingOrder="0" shrinkToFit="0" wrapText="0"/>
    </xf>
    <xf borderId="8" fillId="20" fontId="21" numFmtId="0" xfId="0" applyAlignment="1" applyBorder="1" applyFill="1" applyFont="1">
      <alignment vertical="bottom"/>
    </xf>
    <xf borderId="10" fillId="20" fontId="15" numFmtId="0" xfId="0" applyAlignment="1" applyBorder="1" applyFill="1" applyFont="1">
      <alignment vertical="bottom"/>
    </xf>
    <xf borderId="7" fillId="20" fontId="15" numFmtId="0" xfId="0" applyAlignment="1" applyBorder="1" applyFill="1" applyFont="1">
      <alignment horizontal="center" readingOrder="0" vertical="bottom"/>
    </xf>
    <xf borderId="10" fillId="20" fontId="1" numFmtId="0" xfId="0" applyAlignment="1" applyBorder="1" applyFill="1" applyFont="1">
      <alignment readingOrder="0" shrinkToFit="0" wrapText="0"/>
    </xf>
    <xf borderId="7" fillId="20" fontId="15" numFmtId="0" xfId="0" applyAlignment="1" applyBorder="1" applyFill="1" applyFont="1">
      <alignment horizontal="center" vertical="bottom"/>
    </xf>
    <xf borderId="10" fillId="20" fontId="13" numFmtId="0" xfId="0" applyAlignment="1" applyBorder="1" applyFill="1" applyFont="1">
      <alignment readingOrder="0" shrinkToFit="0" wrapText="0"/>
    </xf>
    <xf borderId="8" fillId="0" fontId="29" numFmtId="0" xfId="0" applyAlignment="1" applyBorder="1" applyFont="1">
      <alignment readingOrder="0"/>
    </xf>
    <xf borderId="8" fillId="0" fontId="15" numFmtId="0" xfId="0" applyAlignment="1" applyBorder="1" applyFont="1">
      <alignment horizontal="center" readingOrder="0" shrinkToFit="0" wrapText="0"/>
    </xf>
    <xf borderId="10" fillId="0" fontId="15" numFmtId="0" xfId="0" applyAlignment="1" applyBorder="1" applyFont="1">
      <alignment horizontal="center" readingOrder="0" shrinkToFit="0" wrapText="0"/>
    </xf>
    <xf borderId="10" fillId="0" fontId="26" numFmtId="0" xfId="0" applyAlignment="1" applyBorder="1" applyFont="1">
      <alignment readingOrder="0" shrinkToFit="0" wrapText="0"/>
    </xf>
    <xf borderId="8" fillId="0" fontId="39" numFmtId="0" xfId="0" applyAlignment="1" applyBorder="1" applyFont="1">
      <alignment horizontal="left" readingOrder="0"/>
    </xf>
    <xf borderId="8" fillId="0" fontId="40" numFmtId="0" xfId="0" applyAlignment="1" applyBorder="1" applyFont="1">
      <alignment horizontal="center" readingOrder="0"/>
    </xf>
    <xf borderId="7" fillId="0" fontId="39" numFmtId="4" xfId="0" applyAlignment="1" applyBorder="1" applyFont="1" applyNumberFormat="1">
      <alignment horizontal="right" readingOrder="0" shrinkToFit="0" wrapText="0"/>
    </xf>
    <xf borderId="8" fillId="0" fontId="28" numFmtId="0" xfId="0" applyBorder="1" applyFont="1"/>
    <xf borderId="0" fillId="0" fontId="29" numFmtId="0" xfId="0" applyAlignment="1" applyFont="1">
      <alignment horizontal="left" readingOrder="0"/>
    </xf>
    <xf borderId="0" fillId="0" fontId="29" numFmtId="0" xfId="0" applyAlignment="1" applyFont="1">
      <alignment horizontal="center" readingOrder="0"/>
    </xf>
    <xf borderId="0" fillId="0" fontId="13" numFmtId="4" xfId="0" applyAlignment="1" applyFont="1" applyNumberFormat="1">
      <alignment horizontal="right" readingOrder="0" shrinkToFit="0" wrapText="0"/>
    </xf>
    <xf borderId="0" fillId="0" fontId="15" numFmtId="0" xfId="0" applyAlignment="1" applyFont="1">
      <alignment horizontal="center" readingOrder="0" shrinkToFit="0" wrapText="0"/>
    </xf>
    <xf borderId="0" fillId="0" fontId="7" numFmtId="0" xfId="0" applyAlignment="1" applyFont="1">
      <alignment readingOrder="0" shrinkToFit="0" wrapText="0"/>
    </xf>
    <xf borderId="0" fillId="13" fontId="35" numFmtId="0" xfId="0" applyAlignment="1" applyFill="1" applyFont="1">
      <alignment horizontal="center" readingOrder="0" vertical="bottom"/>
    </xf>
    <xf borderId="0" fillId="13" fontId="35" numFmtId="4" xfId="0" applyAlignment="1" applyFill="1" applyFont="1" applyNumberFormat="1">
      <alignment horizontal="right" vertical="bottom"/>
    </xf>
    <xf borderId="7" fillId="8" fontId="5" numFmtId="0" xfId="0" applyAlignment="1" applyBorder="1" applyFill="1" applyFont="1">
      <alignment horizontal="center" readingOrder="0" shrinkToFit="0" vertical="center" wrapText="0"/>
    </xf>
    <xf borderId="10" fillId="10" fontId="5" numFmtId="0" xfId="0" applyAlignment="1" applyBorder="1" applyFill="1" applyFont="1">
      <alignment horizontal="center" readingOrder="0" shrinkToFit="0" vertical="center" wrapText="0"/>
    </xf>
    <xf borderId="8" fillId="20" fontId="15" numFmtId="0" xfId="0" applyAlignment="1" applyBorder="1" applyFill="1" applyFont="1">
      <alignment readingOrder="0" vertical="bottom"/>
    </xf>
    <xf borderId="8" fillId="20" fontId="15" numFmtId="0" xfId="0" applyAlignment="1" applyBorder="1" applyFill="1" applyFont="1">
      <alignment horizontal="center" readingOrder="0"/>
    </xf>
    <xf borderId="8" fillId="20" fontId="13" numFmtId="4" xfId="0" applyAlignment="1" applyBorder="1" applyFill="1" applyFont="1" applyNumberFormat="1">
      <alignment horizontal="right" vertical="bottom"/>
    </xf>
    <xf borderId="8" fillId="20" fontId="15" numFmtId="0" xfId="0" applyAlignment="1" applyBorder="1" applyFill="1" applyFont="1">
      <alignment horizontal="center" readingOrder="0" vertical="bottom"/>
    </xf>
    <xf borderId="7" fillId="20" fontId="21" numFmtId="0" xfId="0" applyAlignment="1" applyBorder="1" applyFill="1" applyFont="1">
      <alignment vertical="bottom"/>
    </xf>
    <xf borderId="7" fillId="2" fontId="21" numFmtId="0" xfId="0" applyAlignment="1" applyBorder="1" applyFill="1" applyFont="1">
      <alignment vertical="bottom"/>
    </xf>
    <xf borderId="8" fillId="20" fontId="15" numFmtId="0" xfId="0" applyAlignment="1" applyBorder="1" applyFill="1" applyFont="1">
      <alignment vertical="bottom"/>
    </xf>
    <xf borderId="10" fillId="2" fontId="7" numFmtId="0" xfId="0" applyAlignment="1" applyBorder="1" applyFill="1" applyFont="1">
      <alignment readingOrder="0" shrinkToFit="0" wrapText="0"/>
    </xf>
    <xf borderId="8" fillId="20" fontId="15" numFmtId="0" xfId="0" applyAlignment="1" applyBorder="1" applyFill="1" applyFont="1">
      <alignment horizontal="center" vertical="bottom"/>
    </xf>
    <xf borderId="7" fillId="20" fontId="21" numFmtId="0" xfId="0" applyAlignment="1" applyBorder="1" applyFill="1" applyFont="1">
      <alignment vertical="bottom"/>
    </xf>
    <xf borderId="10" fillId="2" fontId="41" numFmtId="0" xfId="0" applyAlignment="1" applyBorder="1" applyFill="1" applyFont="1">
      <alignment readingOrder="0" shrinkToFit="0" wrapText="0"/>
    </xf>
    <xf borderId="8" fillId="0" fontId="21" numFmtId="0" xfId="0" applyAlignment="1" applyBorder="1" applyFont="1">
      <alignment vertical="bottom"/>
    </xf>
    <xf borderId="10" fillId="4" fontId="42" numFmtId="0" xfId="0" applyAlignment="1" applyBorder="1" applyFill="1" applyFont="1">
      <alignment horizontal="left" readingOrder="0" shrinkToFit="0" wrapText="0"/>
    </xf>
    <xf borderId="7" fillId="4" fontId="42" numFmtId="0" xfId="0" applyAlignment="1" applyBorder="1" applyFill="1" applyFont="1">
      <alignment horizontal="center" readingOrder="0" shrinkToFit="0" wrapText="0"/>
    </xf>
    <xf borderId="7" fillId="4" fontId="43" numFmtId="4" xfId="0" applyAlignment="1" applyBorder="1" applyFill="1" applyFont="1" applyNumberFormat="1">
      <alignment horizontal="right" readingOrder="0" shrinkToFit="0" wrapText="0"/>
    </xf>
    <xf borderId="10" fillId="20" fontId="41" numFmtId="0" xfId="0" applyAlignment="1" applyBorder="1" applyFill="1" applyFont="1">
      <alignment readingOrder="0" shrinkToFit="0" wrapText="0"/>
    </xf>
    <xf borderId="8" fillId="4" fontId="29" numFmtId="0" xfId="0" applyAlignment="1" applyBorder="1" applyFill="1" applyFont="1">
      <alignment horizontal="center" readingOrder="0" shrinkToFit="0" wrapText="0"/>
    </xf>
    <xf borderId="10" fillId="4" fontId="29" numFmtId="0" xfId="0" applyAlignment="1" applyBorder="1" applyFill="1" applyFont="1">
      <alignment horizontal="center" readingOrder="0" shrinkToFit="0" wrapText="0"/>
    </xf>
    <xf borderId="10" fillId="4" fontId="44" numFmtId="0" xfId="0" applyAlignment="1" applyBorder="1" applyFill="1" applyFont="1">
      <alignment readingOrder="0" shrinkToFit="0" wrapText="0"/>
    </xf>
    <xf borderId="10" fillId="21" fontId="42" numFmtId="0" xfId="0" applyAlignment="1" applyBorder="1" applyFill="1" applyFont="1">
      <alignment horizontal="left" readingOrder="0" shrinkToFit="0" wrapText="0"/>
    </xf>
    <xf borderId="7" fillId="21" fontId="42" numFmtId="0" xfId="0" applyAlignment="1" applyBorder="1" applyFill="1" applyFont="1">
      <alignment horizontal="center" readingOrder="0" shrinkToFit="0" wrapText="0"/>
    </xf>
    <xf borderId="7" fillId="21" fontId="43" numFmtId="4" xfId="0" applyAlignment="1" applyBorder="1" applyFill="1" applyFont="1" applyNumberFormat="1">
      <alignment horizontal="right" readingOrder="0" shrinkToFit="0" wrapText="0"/>
    </xf>
    <xf borderId="8" fillId="21" fontId="29" numFmtId="0" xfId="0" applyAlignment="1" applyBorder="1" applyFill="1" applyFont="1">
      <alignment horizontal="center" readingOrder="0" shrinkToFit="0" wrapText="0"/>
    </xf>
    <xf borderId="10" fillId="21" fontId="29" numFmtId="0" xfId="0" applyAlignment="1" applyBorder="1" applyFill="1" applyFont="1">
      <alignment horizontal="center" readingOrder="0" shrinkToFit="0" wrapText="0"/>
    </xf>
    <xf borderId="10" fillId="21" fontId="44" numFmtId="0" xfId="0" applyAlignment="1" applyBorder="1" applyFill="1" applyFont="1">
      <alignment readingOrder="0" shrinkToFit="0" wrapText="0"/>
    </xf>
    <xf borderId="8" fillId="4" fontId="29" numFmtId="0" xfId="0" applyAlignment="1" applyBorder="1" applyFill="1" applyFont="1">
      <alignment vertical="bottom"/>
    </xf>
    <xf borderId="8" fillId="4" fontId="29" numFmtId="0" xfId="0" applyAlignment="1" applyBorder="1" applyFill="1" applyFont="1">
      <alignment horizontal="center" readingOrder="0"/>
    </xf>
    <xf borderId="8" fillId="21" fontId="29" numFmtId="0" xfId="0" applyAlignment="1" applyBorder="1" applyFill="1" applyFont="1">
      <alignment vertical="bottom"/>
    </xf>
    <xf borderId="8" fillId="21" fontId="29" numFmtId="0" xfId="0" applyAlignment="1" applyBorder="1" applyFill="1" applyFont="1">
      <alignment horizontal="center" vertical="bottom"/>
    </xf>
    <xf borderId="10" fillId="21" fontId="29" numFmtId="0" xfId="0" applyAlignment="1" applyBorder="1" applyFill="1" applyFont="1">
      <alignment horizontal="center" vertical="bottom"/>
    </xf>
    <xf borderId="8" fillId="4" fontId="29" numFmtId="0" xfId="0" applyAlignment="1" applyBorder="1" applyFill="1" applyFont="1">
      <alignment horizontal="center" vertical="bottom"/>
    </xf>
    <xf borderId="10" fillId="4" fontId="29" numFmtId="0" xfId="0" applyAlignment="1" applyBorder="1" applyFill="1" applyFont="1">
      <alignment horizontal="center" vertical="bottom"/>
    </xf>
    <xf borderId="10" fillId="21" fontId="29" numFmtId="0" xfId="0" applyAlignment="1" applyBorder="1" applyFill="1" applyFont="1">
      <alignment horizontal="left" readingOrder="0"/>
    </xf>
    <xf borderId="7" fillId="21" fontId="29" numFmtId="0" xfId="0" applyAlignment="1" applyBorder="1" applyFill="1" applyFont="1">
      <alignment horizontal="center" readingOrder="0"/>
    </xf>
    <xf borderId="10" fillId="4" fontId="42" numFmtId="0" xfId="0" applyAlignment="1" applyBorder="1" applyFill="1" applyFont="1">
      <alignment horizontal="left" shrinkToFit="0" wrapText="0"/>
    </xf>
    <xf borderId="7" fillId="4" fontId="42" numFmtId="0" xfId="0" applyAlignment="1" applyBorder="1" applyFill="1" applyFont="1">
      <alignment horizontal="center" shrinkToFit="0" wrapText="0"/>
    </xf>
    <xf borderId="8" fillId="21" fontId="42" numFmtId="0" xfId="0" applyAlignment="1" applyBorder="1" applyFill="1" applyFont="1">
      <alignment horizontal="left" readingOrder="0" shrinkToFit="0" wrapText="0"/>
    </xf>
    <xf borderId="8" fillId="21" fontId="42" numFmtId="0" xfId="0" applyAlignment="1" applyBorder="1" applyFill="1" applyFont="1">
      <alignment horizontal="center" readingOrder="0" shrinkToFit="0" wrapText="0"/>
    </xf>
    <xf borderId="8" fillId="4" fontId="29" numFmtId="0" xfId="0" applyAlignment="1" applyBorder="1" applyFill="1" applyFont="1">
      <alignment horizontal="left" readingOrder="0"/>
    </xf>
    <xf borderId="9" fillId="4" fontId="29" numFmtId="0" xfId="0" applyAlignment="1" applyBorder="1" applyFill="1" applyFont="1">
      <alignment horizontal="center" readingOrder="0"/>
    </xf>
    <xf borderId="8" fillId="21" fontId="29" numFmtId="0" xfId="0" applyAlignment="1" applyBorder="1" applyFill="1" applyFont="1">
      <alignment horizontal="center" readingOrder="0"/>
    </xf>
    <xf borderId="8" fillId="21" fontId="44" numFmtId="0" xfId="0" applyAlignment="1" applyBorder="1" applyFill="1" applyFont="1">
      <alignment readingOrder="0" shrinkToFit="0" wrapText="0"/>
    </xf>
    <xf borderId="10" fillId="4" fontId="29" numFmtId="0" xfId="0" applyAlignment="1" applyBorder="1" applyFill="1" applyFont="1">
      <alignment vertical="bottom"/>
    </xf>
    <xf borderId="7" fillId="4" fontId="29" numFmtId="0" xfId="0" applyAlignment="1" applyBorder="1" applyFill="1" applyFont="1">
      <alignment horizontal="center" vertical="bottom"/>
    </xf>
    <xf borderId="10" fillId="4" fontId="43" numFmtId="0" xfId="0" applyAlignment="1" applyBorder="1" applyFill="1" applyFont="1">
      <alignment readingOrder="0" shrinkToFit="0" wrapText="0"/>
    </xf>
    <xf borderId="10" fillId="21" fontId="29" numFmtId="0" xfId="0" applyAlignment="1" applyBorder="1" applyFill="1" applyFont="1">
      <alignment vertical="bottom"/>
    </xf>
    <xf borderId="7" fillId="21" fontId="29" numFmtId="0" xfId="0" applyAlignment="1" applyBorder="1" applyFill="1" applyFont="1">
      <alignment horizontal="center" vertical="bottom"/>
    </xf>
    <xf borderId="7" fillId="4" fontId="29" numFmtId="0" xfId="0" applyAlignment="1" applyBorder="1" applyFill="1" applyFont="1">
      <alignment horizontal="center" readingOrder="0" vertical="bottom"/>
    </xf>
    <xf borderId="8" fillId="4" fontId="29" numFmtId="0" xfId="0" applyAlignment="1" applyBorder="1" applyFill="1" applyFont="1">
      <alignment horizontal="center" readingOrder="0" vertical="bottom"/>
    </xf>
    <xf borderId="8" fillId="20" fontId="29" numFmtId="0" xfId="0" applyAlignment="1" applyBorder="1" applyFill="1" applyFont="1">
      <alignment readingOrder="0" vertical="bottom"/>
    </xf>
    <xf borderId="8" fillId="20" fontId="29" numFmtId="0" xfId="0" applyAlignment="1" applyBorder="1" applyFill="1" applyFont="1">
      <alignment horizontal="center" readingOrder="0"/>
    </xf>
    <xf borderId="8" fillId="20" fontId="43" numFmtId="4" xfId="0" applyAlignment="1" applyBorder="1" applyFill="1" applyFont="1" applyNumberFormat="1">
      <alignment horizontal="right" vertical="bottom"/>
    </xf>
    <xf borderId="8" fillId="20" fontId="29" numFmtId="0" xfId="0" applyAlignment="1" applyBorder="1" applyFill="1" applyFont="1">
      <alignment horizontal="center" readingOrder="0" vertical="bottom"/>
    </xf>
    <xf borderId="7" fillId="20" fontId="29" numFmtId="0" xfId="0" applyAlignment="1" applyBorder="1" applyFill="1" applyFont="1">
      <alignment horizontal="center" readingOrder="0" vertical="bottom"/>
    </xf>
    <xf borderId="7" fillId="20" fontId="29" numFmtId="0" xfId="0" applyAlignment="1" applyBorder="1" applyFill="1" applyFont="1">
      <alignment vertical="bottom"/>
    </xf>
    <xf borderId="8" fillId="0" fontId="29" numFmtId="0" xfId="0" applyAlignment="1" applyBorder="1" applyFont="1">
      <alignment readingOrder="0" vertical="bottom"/>
    </xf>
    <xf borderId="8" fillId="0" fontId="29" numFmtId="0" xfId="0" applyAlignment="1" applyBorder="1" applyFont="1">
      <alignment horizontal="center" readingOrder="0" vertical="bottom"/>
    </xf>
    <xf borderId="10" fillId="4" fontId="43" numFmtId="0" xfId="0" applyAlignment="1" applyBorder="1" applyFill="1" applyFont="1">
      <alignment readingOrder="0" shrinkToFit="0" wrapText="0"/>
    </xf>
    <xf borderId="8" fillId="0" fontId="43" numFmtId="4" xfId="0" applyAlignment="1" applyBorder="1" applyFont="1" applyNumberFormat="1">
      <alignment horizontal="right" vertical="bottom"/>
    </xf>
    <xf borderId="8" fillId="4" fontId="29" numFmtId="0" xfId="0" applyAlignment="1" applyBorder="1" applyFill="1" applyFont="1">
      <alignment horizontal="center" readingOrder="0" vertical="bottom"/>
    </xf>
    <xf borderId="7" fillId="4" fontId="29" numFmtId="0" xfId="0" applyAlignment="1" applyBorder="1" applyFill="1" applyFont="1">
      <alignment horizontal="center" readingOrder="0" vertical="bottom"/>
    </xf>
    <xf borderId="7" fillId="0" fontId="29" numFmtId="0" xfId="0" applyAlignment="1" applyBorder="1" applyFont="1">
      <alignment vertical="bottom"/>
    </xf>
    <xf borderId="10" fillId="0" fontId="44" numFmtId="0" xfId="0" applyAlignment="1" applyBorder="1" applyFont="1">
      <alignment readingOrder="0" shrinkToFit="0" wrapText="0"/>
    </xf>
    <xf borderId="8" fillId="0" fontId="29" numFmtId="0" xfId="0" applyAlignment="1" applyBorder="1" applyFont="1">
      <alignment vertical="bottom"/>
    </xf>
    <xf borderId="8" fillId="4" fontId="42" numFmtId="0" xfId="0" applyAlignment="1" applyBorder="1" applyFill="1" applyFont="1">
      <alignment horizontal="left" readingOrder="0" shrinkToFit="0" wrapText="0"/>
    </xf>
    <xf borderId="8" fillId="0" fontId="29" numFmtId="0" xfId="0" applyAlignment="1" applyBorder="1" applyFont="1">
      <alignment horizontal="center" vertical="bottom"/>
    </xf>
    <xf borderId="8" fillId="4" fontId="42" numFmtId="0" xfId="0" applyAlignment="1" applyBorder="1" applyFill="1" applyFont="1">
      <alignment horizontal="center" readingOrder="0" shrinkToFit="0" wrapText="0"/>
    </xf>
    <xf borderId="7" fillId="0" fontId="37" numFmtId="0" xfId="0" applyAlignment="1" applyBorder="1" applyFont="1">
      <alignment readingOrder="0" vertical="bottom"/>
    </xf>
    <xf borderId="10" fillId="0" fontId="43" numFmtId="0" xfId="0" applyAlignment="1" applyBorder="1" applyFont="1">
      <alignment readingOrder="0" shrinkToFit="0" wrapText="0"/>
    </xf>
    <xf borderId="8" fillId="20" fontId="29" numFmtId="0" xfId="0" applyAlignment="1" applyBorder="1" applyFill="1" applyFont="1">
      <alignment vertical="bottom"/>
    </xf>
    <xf borderId="8" fillId="20" fontId="29" numFmtId="0" xfId="0" applyAlignment="1" applyBorder="1" applyFill="1" applyFont="1">
      <alignment horizontal="center" vertical="bottom"/>
    </xf>
    <xf borderId="7" fillId="20" fontId="29" numFmtId="0" xfId="0" applyAlignment="1" applyBorder="1" applyFill="1" applyFont="1">
      <alignment horizontal="center" vertical="bottom"/>
    </xf>
    <xf borderId="8" fillId="0" fontId="29" numFmtId="0" xfId="0" applyAlignment="1" applyBorder="1" applyFont="1">
      <alignment vertical="bottom"/>
    </xf>
    <xf borderId="8" fillId="20" fontId="29" numFmtId="0" xfId="0" applyAlignment="1" applyBorder="1" applyFill="1" applyFont="1">
      <alignment horizontal="center" vertical="bottom"/>
    </xf>
    <xf borderId="8" fillId="21" fontId="42" numFmtId="0" xfId="0" applyAlignment="1" applyBorder="1" applyFill="1" applyFont="1">
      <alignment horizontal="left" shrinkToFit="0" wrapText="0"/>
    </xf>
    <xf borderId="7" fillId="0" fontId="29" numFmtId="0" xfId="0" applyAlignment="1" applyBorder="1" applyFont="1">
      <alignment vertical="bottom"/>
    </xf>
    <xf borderId="9" fillId="21" fontId="42" numFmtId="0" xfId="0" applyAlignment="1" applyBorder="1" applyFill="1" applyFont="1">
      <alignment horizontal="center" shrinkToFit="0" wrapText="0"/>
    </xf>
    <xf borderId="8" fillId="4" fontId="44" numFmtId="0" xfId="0" applyAlignment="1" applyBorder="1" applyFill="1" applyFont="1">
      <alignment readingOrder="0" shrinkToFit="0" wrapText="0"/>
    </xf>
    <xf borderId="7" fillId="4" fontId="29" numFmtId="0" xfId="0" applyAlignment="1" applyBorder="1" applyFill="1" applyFont="1">
      <alignment horizontal="center" readingOrder="0"/>
    </xf>
    <xf borderId="10" fillId="21" fontId="43" numFmtId="0" xfId="0" applyAlignment="1" applyBorder="1" applyFill="1" applyFont="1">
      <alignment readingOrder="0" shrinkToFit="0" wrapText="0"/>
    </xf>
    <xf borderId="8" fillId="21" fontId="29" numFmtId="0" xfId="0" applyAlignment="1" applyBorder="1" applyFill="1" applyFont="1">
      <alignment horizontal="center" readingOrder="0" vertical="bottom"/>
    </xf>
    <xf borderId="8" fillId="4" fontId="29" numFmtId="0" xfId="0" applyAlignment="1" applyBorder="1" applyFill="1" applyFont="1">
      <alignment readingOrder="0" vertical="bottom"/>
    </xf>
    <xf borderId="10" fillId="4" fontId="45" numFmtId="0" xfId="0" applyAlignment="1" applyBorder="1" applyFill="1" applyFont="1">
      <alignment readingOrder="0" shrinkToFit="0" wrapText="0"/>
    </xf>
    <xf borderId="0" fillId="0" fontId="46" numFmtId="0" xfId="0" applyAlignment="1" applyFont="1">
      <alignment readingOrder="0"/>
    </xf>
    <xf borderId="0" fillId="0" fontId="15" numFmtId="4" xfId="0" applyAlignment="1" applyFont="1" applyNumberFormat="1">
      <alignment horizontal="right" readingOrder="0" shrinkToFit="0" wrapText="0"/>
    </xf>
    <xf borderId="0" fillId="0" fontId="33" numFmtId="0" xfId="0" applyAlignment="1" applyFont="1">
      <alignment readingOrder="0" shrinkToFit="0" wrapText="0"/>
    </xf>
    <xf borderId="10" fillId="21" fontId="43" numFmtId="0" xfId="0" applyAlignment="1" applyBorder="1" applyFill="1" applyFont="1">
      <alignment readingOrder="0" shrinkToFit="0" wrapText="0"/>
    </xf>
    <xf borderId="0" fillId="0" fontId="34" numFmtId="0" xfId="0" applyAlignment="1" applyFont="1">
      <alignment readingOrder="0" shrinkToFit="0" wrapText="0"/>
    </xf>
    <xf borderId="0" fillId="0" fontId="15" numFmtId="0" xfId="0" applyAlignment="1" applyFont="1">
      <alignment horizontal="center" shrinkToFit="0" wrapText="0"/>
    </xf>
    <xf borderId="0" fillId="0" fontId="15" numFmtId="0" xfId="0" applyAlignment="1" applyFont="1">
      <alignment horizontal="center" vertical="bottom"/>
    </xf>
    <xf borderId="0" fillId="0" fontId="15" numFmtId="0" xfId="0" applyAlignment="1" applyFont="1">
      <alignment horizontal="center" readingOrder="0" vertical="bottom"/>
    </xf>
    <xf borderId="0" fillId="0" fontId="46" numFmtId="0" xfId="0" applyFont="1"/>
    <xf borderId="0" fillId="0" fontId="15" numFmtId="0" xfId="0" applyAlignment="1" applyFont="1">
      <alignment horizontal="center" readingOrder="0"/>
    </xf>
    <xf borderId="0" fillId="0" fontId="29" numFmtId="0" xfId="0" applyAlignment="1" applyFont="1">
      <alignment horizontal="center" readingOrder="0"/>
    </xf>
    <xf borderId="0" fillId="0" fontId="29" numFmtId="4" xfId="0" applyFont="1" applyNumberFormat="1"/>
    <xf borderId="0" fillId="0" fontId="47" numFmtId="0" xfId="0" applyAlignment="1" applyFont="1">
      <alignment horizontal="center" readingOrder="0" vertical="bottom"/>
    </xf>
    <xf borderId="0" fillId="0" fontId="47" numFmtId="4" xfId="0" applyAlignment="1" applyFont="1" applyNumberFormat="1">
      <alignment horizontal="right" vertical="bottom"/>
    </xf>
    <xf borderId="0" fillId="0" fontId="15" numFmtId="0" xfId="0" applyAlignment="1" applyFont="1">
      <alignment readingOrder="0" vertical="bottom"/>
    </xf>
    <xf borderId="0" fillId="0" fontId="30" numFmtId="0" xfId="0" applyAlignment="1" applyFont="1">
      <alignment horizontal="center" readingOrder="0" vertical="center"/>
    </xf>
    <xf borderId="0" fillId="0" fontId="46" numFmtId="4" xfId="0" applyFont="1" applyNumberFormat="1"/>
    <xf borderId="0" fillId="0" fontId="33" numFmtId="3" xfId="0" applyAlignment="1" applyFont="1" applyNumberFormat="1">
      <alignment horizontal="center" readingOrder="0" shrinkToFit="0" vertical="center" wrapText="0"/>
    </xf>
    <xf borderId="0" fillId="0" fontId="33" numFmtId="0" xfId="0" applyAlignment="1" applyFont="1">
      <alignment horizontal="center" readingOrder="0" shrinkToFit="0" vertical="center" wrapText="0"/>
    </xf>
    <xf borderId="0" fillId="0" fontId="15" numFmtId="0" xfId="0" applyAlignment="1" applyFont="1">
      <alignment horizontal="center" readingOrder="0" shrinkToFit="0" vertical="center" wrapText="0"/>
    </xf>
    <xf borderId="0" fillId="0" fontId="15" numFmtId="0" xfId="0" applyAlignment="1" applyFont="1">
      <alignment shrinkToFit="0" wrapText="0"/>
    </xf>
    <xf borderId="0" fillId="0" fontId="48" numFmtId="0" xfId="0" applyAlignment="1" applyFont="1">
      <alignment horizontal="center" readingOrder="0" shrinkToFit="0" vertical="center" wrapText="1"/>
    </xf>
    <xf borderId="0" fillId="0" fontId="33" numFmtId="0" xfId="0" applyAlignment="1" applyFont="1">
      <alignment horizontal="center" readingOrder="0" shrinkToFit="0" vertical="center" wrapText="1"/>
    </xf>
    <xf borderId="0" fillId="0" fontId="15" numFmtId="4" xfId="0" applyAlignment="1" applyFont="1" applyNumberFormat="1">
      <alignment horizontal="right" vertical="bottom"/>
    </xf>
    <xf borderId="0" fillId="0" fontId="21" numFmtId="0" xfId="0" applyAlignment="1" applyFont="1">
      <alignment vertical="bottom"/>
    </xf>
    <xf borderId="0" fillId="0" fontId="34" numFmtId="0" xfId="0" applyAlignment="1" applyFont="1">
      <alignment readingOrder="0" vertical="bottom"/>
    </xf>
    <xf borderId="0" fillId="0" fontId="15" numFmtId="4" xfId="0" applyAlignment="1" applyFont="1" applyNumberFormat="1">
      <alignment horizontal="right" readingOrder="0" vertical="bottom"/>
    </xf>
    <xf borderId="0" fillId="0" fontId="15" numFmtId="0" xfId="0" applyAlignment="1" applyFont="1">
      <alignment horizontal="center" vertical="bottom"/>
    </xf>
    <xf borderId="0" fillId="0" fontId="46" numFmtId="0" xfId="0" applyFont="1"/>
    <xf borderId="0" fillId="0" fontId="17" numFmtId="0" xfId="0" applyAlignment="1" applyFont="1">
      <alignment horizontal="left" readingOrder="0"/>
    </xf>
    <xf borderId="7" fillId="0" fontId="45" numFmtId="0" xfId="0" applyAlignment="1" applyBorder="1" applyFont="1">
      <alignment readingOrder="0" vertical="bottom"/>
    </xf>
    <xf borderId="0" fillId="4" fontId="43" numFmtId="0" xfId="0" applyAlignment="1" applyFill="1" applyFont="1">
      <alignment readingOrder="0" shrinkToFit="0" wrapText="0"/>
    </xf>
    <xf borderId="7" fillId="21" fontId="49" numFmtId="4" xfId="0" applyAlignment="1" applyBorder="1" applyFill="1" applyFont="1" applyNumberFormat="1">
      <alignment horizontal="right" readingOrder="0" shrinkToFit="0" wrapText="0"/>
    </xf>
    <xf borderId="10" fillId="22" fontId="29" numFmtId="0" xfId="0" applyAlignment="1" applyBorder="1" applyFill="1" applyFont="1">
      <alignment vertical="bottom"/>
    </xf>
    <xf borderId="0" fillId="21" fontId="44" numFmtId="0" xfId="0" applyAlignment="1" applyFill="1" applyFont="1">
      <alignment readingOrder="0" shrinkToFit="0" wrapText="0"/>
    </xf>
    <xf borderId="0" fillId="4" fontId="44" numFmtId="0" xfId="0" applyAlignment="1" applyFill="1" applyFont="1">
      <alignment readingOrder="0" shrinkToFit="0" vertical="bottom" wrapText="0"/>
    </xf>
    <xf borderId="8" fillId="22" fontId="29" numFmtId="0" xfId="0" applyAlignment="1" applyBorder="1" applyFill="1" applyFont="1">
      <alignment vertical="bottom"/>
    </xf>
    <xf borderId="8" fillId="23" fontId="29" numFmtId="0" xfId="0" applyAlignment="1" applyBorder="1" applyFill="1" applyFont="1">
      <alignment horizontal="center" readingOrder="0"/>
    </xf>
    <xf borderId="7" fillId="23" fontId="43" numFmtId="4" xfId="0" applyAlignment="1" applyBorder="1" applyFill="1" applyFont="1" applyNumberFormat="1">
      <alignment horizontal="right" readingOrder="0" shrinkToFit="0" wrapText="0"/>
    </xf>
    <xf borderId="8" fillId="23" fontId="29" numFmtId="0" xfId="0" applyAlignment="1" applyBorder="1" applyFill="1" applyFont="1">
      <alignment horizontal="center" readingOrder="0" shrinkToFit="0" wrapText="0"/>
    </xf>
    <xf borderId="10" fillId="23" fontId="29" numFmtId="0" xfId="0" applyAlignment="1" applyBorder="1" applyFill="1" applyFont="1">
      <alignment horizontal="center" readingOrder="0" shrinkToFit="0" wrapText="0"/>
    </xf>
    <xf borderId="10" fillId="23" fontId="44" numFmtId="0" xfId="0" applyAlignment="1" applyBorder="1" applyFill="1" applyFont="1">
      <alignment readingOrder="0" shrinkToFit="0" wrapText="0"/>
    </xf>
    <xf borderId="0" fillId="21" fontId="44" numFmtId="0" xfId="0" applyAlignment="1" applyFill="1" applyFont="1">
      <alignment readingOrder="0" shrinkToFit="0" vertical="bottom" wrapText="0"/>
    </xf>
    <xf borderId="0" fillId="4" fontId="44" numFmtId="0" xfId="0" applyAlignment="1" applyFill="1" applyFont="1">
      <alignment readingOrder="0" shrinkToFit="0" wrapText="0"/>
    </xf>
    <xf borderId="8" fillId="24" fontId="29" numFmtId="0" xfId="0" applyAlignment="1" applyBorder="1" applyFill="1" applyFont="1">
      <alignment horizontal="center" vertical="bottom"/>
    </xf>
    <xf borderId="7" fillId="24" fontId="43" numFmtId="4" xfId="0" applyAlignment="1" applyBorder="1" applyFill="1" applyFont="1" applyNumberFormat="1">
      <alignment horizontal="right" readingOrder="0" shrinkToFit="0" wrapText="0"/>
    </xf>
    <xf borderId="8" fillId="24" fontId="29" numFmtId="0" xfId="0" applyAlignment="1" applyBorder="1" applyFill="1" applyFont="1">
      <alignment horizontal="center" readingOrder="0" shrinkToFit="0" wrapText="0"/>
    </xf>
    <xf borderId="10" fillId="24" fontId="29" numFmtId="0" xfId="0" applyAlignment="1" applyBorder="1" applyFill="1" applyFont="1">
      <alignment horizontal="center" readingOrder="0" shrinkToFit="0" wrapText="0"/>
    </xf>
    <xf borderId="10" fillId="24" fontId="44" numFmtId="0" xfId="0" applyAlignment="1" applyBorder="1" applyFill="1" applyFont="1">
      <alignment readingOrder="0" shrinkToFit="0" wrapText="0"/>
    </xf>
    <xf borderId="0" fillId="21" fontId="43" numFmtId="0" xfId="0" applyAlignment="1" applyFill="1" applyFont="1">
      <alignment readingOrder="0" shrinkToFit="0" wrapText="0"/>
    </xf>
    <xf borderId="8" fillId="4" fontId="42" numFmtId="0" xfId="0" applyAlignment="1" applyBorder="1" applyFill="1" applyFont="1">
      <alignment horizontal="left" shrinkToFit="0" wrapText="0"/>
    </xf>
    <xf borderId="9" fillId="4" fontId="42" numFmtId="0" xfId="0" applyAlignment="1" applyBorder="1" applyFill="1" applyFont="1">
      <alignment horizontal="center" shrinkToFit="0" wrapText="0"/>
    </xf>
    <xf borderId="0" fillId="21" fontId="44" numFmtId="0" xfId="0" applyAlignment="1" applyFill="1" applyFont="1">
      <alignment readingOrder="0" shrinkToFit="0" vertical="bottom" wrapText="0"/>
    </xf>
    <xf borderId="10" fillId="22" fontId="29" numFmtId="0" xfId="0" applyAlignment="1" applyBorder="1" applyFill="1" applyFont="1">
      <alignment horizontal="left" readingOrder="0"/>
    </xf>
    <xf borderId="8" fillId="21" fontId="29" numFmtId="0" xfId="0" applyAlignment="1" applyBorder="1" applyFill="1" applyFont="1">
      <alignment readingOrder="0" vertical="bottom"/>
    </xf>
    <xf borderId="10" fillId="21" fontId="42" numFmtId="0" xfId="0" applyAlignment="1" applyBorder="1" applyFill="1" applyFont="1">
      <alignment readingOrder="0" shrinkToFit="0" wrapText="0"/>
    </xf>
    <xf borderId="7" fillId="4" fontId="45" numFmtId="4" xfId="0" applyAlignment="1" applyBorder="1" applyFill="1" applyFont="1" applyNumberFormat="1">
      <alignment horizontal="right" readingOrder="0" shrinkToFit="0" wrapText="0"/>
    </xf>
    <xf borderId="10" fillId="4" fontId="40" numFmtId="0" xfId="0" applyAlignment="1" applyBorder="1" applyFill="1" applyFont="1">
      <alignment readingOrder="0" shrinkToFit="0" wrapText="0"/>
    </xf>
    <xf borderId="10" fillId="0" fontId="43" numFmtId="0" xfId="0" applyAlignment="1" applyBorder="1" applyFont="1">
      <alignment readingOrder="0" shrinkToFit="0" wrapText="0"/>
    </xf>
    <xf borderId="8" fillId="20" fontId="40" numFmtId="4" xfId="0" applyAlignment="1" applyBorder="1" applyFill="1" applyFont="1" applyNumberFormat="1">
      <alignment horizontal="right" vertical="bottom"/>
    </xf>
    <xf borderId="7" fillId="0" fontId="49" numFmtId="0" xfId="0" applyAlignment="1" applyBorder="1" applyFont="1">
      <alignment readingOrder="0" vertical="bottom"/>
    </xf>
    <xf borderId="10" fillId="4" fontId="42" numFmtId="0" xfId="0" applyAlignment="1" applyBorder="1" applyFill="1" applyFont="1">
      <alignment readingOrder="0" shrinkToFit="0" wrapText="0"/>
    </xf>
    <xf borderId="8" fillId="4" fontId="29" numFmtId="0" xfId="0" applyAlignment="1" applyBorder="1" applyFill="1" applyFont="1">
      <alignment horizontal="left" readingOrder="0" vertical="bottom"/>
    </xf>
    <xf borderId="8" fillId="4" fontId="42" numFmtId="0" xfId="0" applyAlignment="1" applyBorder="1" applyFill="1" applyFont="1">
      <alignment horizontal="center" readingOrder="0" vertical="bottom"/>
    </xf>
    <xf borderId="8" fillId="21" fontId="29" numFmtId="0" xfId="0" applyAlignment="1" applyBorder="1" applyFill="1" applyFont="1">
      <alignment horizontal="left" readingOrder="0" vertical="bottom"/>
    </xf>
    <xf borderId="8" fillId="21" fontId="42" numFmtId="0" xfId="0" applyAlignment="1" applyBorder="1" applyFill="1" applyFont="1">
      <alignment horizontal="center" readingOrder="0" vertical="bottom"/>
    </xf>
    <xf borderId="8" fillId="4" fontId="29" numFmtId="0" xfId="0" applyAlignment="1" applyBorder="1" applyFill="1" applyFont="1">
      <alignment horizontal="left" vertical="bottom"/>
    </xf>
    <xf borderId="8" fillId="4" fontId="42" numFmtId="0" xfId="0" applyAlignment="1" applyBorder="1" applyFill="1" applyFont="1">
      <alignment horizontal="center" vertical="bottom"/>
    </xf>
    <xf borderId="10" fillId="21" fontId="29" numFmtId="0" xfId="0" applyAlignment="1" applyBorder="1" applyFill="1" applyFont="1">
      <alignment horizontal="left" vertical="bottom"/>
    </xf>
    <xf borderId="8" fillId="21" fontId="42" numFmtId="0" xfId="0" applyAlignment="1" applyBorder="1" applyFill="1" applyFont="1">
      <alignment horizontal="center" vertical="bottom"/>
    </xf>
    <xf borderId="8" fillId="25" fontId="42" numFmtId="0" xfId="0" applyAlignment="1" applyBorder="1" applyFill="1" applyFont="1">
      <alignment horizontal="center" readingOrder="0" shrinkToFit="0" wrapText="0"/>
    </xf>
    <xf borderId="8" fillId="21" fontId="42" numFmtId="0" xfId="0" applyAlignment="1" applyBorder="1" applyFill="1" applyFont="1">
      <alignment horizontal="center" shrinkToFit="0" wrapText="0"/>
    </xf>
    <xf borderId="0" fillId="4" fontId="44" numFmtId="0" xfId="0" applyAlignment="1" applyFill="1" applyFont="1">
      <alignment readingOrder="0" shrinkToFit="0" vertical="bottom" wrapText="0"/>
    </xf>
    <xf borderId="8" fillId="21" fontId="42" numFmtId="0" xfId="0" applyAlignment="1" applyBorder="1" applyFill="1" applyFont="1">
      <alignment horizontal="center" readingOrder="0"/>
    </xf>
    <xf borderId="8" fillId="21" fontId="29" numFmtId="0" xfId="0" applyAlignment="1" applyBorder="1" applyFill="1" applyFont="1">
      <alignment horizontal="left" vertical="bottom"/>
    </xf>
    <xf borderId="10" fillId="21" fontId="40" numFmtId="0" xfId="0" applyAlignment="1" applyBorder="1" applyFill="1" applyFont="1">
      <alignment readingOrder="0" shrinkToFit="0" wrapText="0"/>
    </xf>
    <xf borderId="7" fillId="0" fontId="43" numFmtId="4" xfId="0" applyAlignment="1" applyBorder="1" applyFont="1" applyNumberFormat="1">
      <alignment horizontal="right" readingOrder="0" shrinkToFit="0" wrapText="0"/>
    </xf>
    <xf borderId="8" fillId="0" fontId="37" numFmtId="0" xfId="0" applyAlignment="1" applyBorder="1" applyFont="1">
      <alignment readingOrder="0" vertical="bottom"/>
    </xf>
    <xf borderId="0" fillId="13" fontId="1" numFmtId="0" xfId="0" applyAlignment="1" applyFill="1" applyFont="1">
      <alignment horizontal="center" readingOrder="0" shrinkToFit="0" wrapText="0"/>
    </xf>
    <xf borderId="8" fillId="13" fontId="1" numFmtId="0" xfId="0" applyAlignment="1" applyBorder="1" applyFill="1" applyFont="1">
      <alignment horizontal="center" readingOrder="0" shrinkToFit="0" wrapText="0"/>
    </xf>
    <xf borderId="10" fillId="21" fontId="29" numFmtId="0" xfId="0" applyAlignment="1" applyBorder="1" applyFill="1" applyFont="1">
      <alignment horizontal="left" readingOrder="0" vertical="bottom"/>
    </xf>
    <xf borderId="0" fillId="0" fontId="12" numFmtId="0" xfId="0" applyAlignment="1" applyFont="1">
      <alignment horizontal="center" readingOrder="0"/>
    </xf>
    <xf borderId="0" fillId="0" fontId="50" numFmtId="167" xfId="0" applyAlignment="1" applyFont="1" applyNumberFormat="1">
      <alignment horizontal="center"/>
    </xf>
    <xf borderId="4" fillId="0" fontId="1" numFmtId="167" xfId="0" applyAlignment="1" applyBorder="1" applyFont="1" applyNumberFormat="1">
      <alignment readingOrder="0" shrinkToFit="0" vertical="center" wrapText="0"/>
    </xf>
    <xf borderId="9" fillId="7" fontId="11" numFmtId="0" xfId="0" applyAlignment="1" applyBorder="1" applyFill="1" applyFont="1">
      <alignment horizontal="center" readingOrder="0" shrinkToFit="0" vertical="center" wrapText="1"/>
    </xf>
    <xf borderId="9" fillId="8" fontId="5" numFmtId="0" xfId="0" applyAlignment="1" applyBorder="1" applyFill="1" applyFont="1">
      <alignment horizontal="center" readingOrder="0" shrinkToFit="0" vertical="center" wrapText="0"/>
    </xf>
    <xf borderId="0" fillId="0" fontId="17" numFmtId="0" xfId="0" applyAlignment="1" applyFont="1">
      <alignment horizontal="center" vertical="center"/>
    </xf>
    <xf borderId="10" fillId="0" fontId="42" numFmtId="0" xfId="0" applyAlignment="1" applyBorder="1" applyFont="1">
      <alignment horizontal="left" readingOrder="0" shrinkToFit="0" wrapText="0"/>
    </xf>
    <xf borderId="8" fillId="0" fontId="42" numFmtId="0" xfId="0" applyAlignment="1" applyBorder="1" applyFont="1">
      <alignment horizontal="center" readingOrder="0" shrinkToFit="0" wrapText="0"/>
    </xf>
    <xf borderId="7" fillId="0" fontId="43" numFmtId="167" xfId="0" applyAlignment="1" applyBorder="1" applyFont="1" applyNumberFormat="1">
      <alignment horizontal="center" readingOrder="0" shrinkToFit="0" wrapText="0"/>
    </xf>
    <xf borderId="8" fillId="0" fontId="29" numFmtId="0" xfId="0" applyAlignment="1" applyBorder="1" applyFont="1">
      <alignment horizontal="center" readingOrder="0" shrinkToFit="0" wrapText="0"/>
    </xf>
    <xf quotePrefix="1" borderId="10" fillId="0" fontId="29" numFmtId="0" xfId="0" applyAlignment="1" applyBorder="1" applyFont="1">
      <alignment horizontal="center" readingOrder="0" shrinkToFit="0" wrapText="0"/>
    </xf>
    <xf borderId="10" fillId="0" fontId="44" numFmtId="0" xfId="0" applyAlignment="1" applyBorder="1" applyFont="1">
      <alignment readingOrder="0" shrinkToFit="0" wrapText="0"/>
    </xf>
    <xf borderId="0" fillId="4" fontId="17" numFmtId="0" xfId="0" applyFill="1" applyFont="1"/>
    <xf borderId="8" fillId="0" fontId="42" numFmtId="0" xfId="0" applyAlignment="1" applyBorder="1" applyFont="1">
      <alignment horizontal="left" readingOrder="0" shrinkToFit="0" wrapText="0"/>
    </xf>
    <xf borderId="0" fillId="4" fontId="21" numFmtId="0" xfId="0" applyAlignment="1" applyFill="1" applyFont="1">
      <alignment vertical="bottom"/>
    </xf>
    <xf borderId="8" fillId="0" fontId="29" numFmtId="0" xfId="0" applyAlignment="1" applyBorder="1" applyFont="1">
      <alignment horizontal="left" readingOrder="0" vertical="bottom"/>
    </xf>
    <xf borderId="8" fillId="0" fontId="42" numFmtId="0" xfId="0" applyAlignment="1" applyBorder="1" applyFont="1">
      <alignment horizontal="center" readingOrder="0" vertical="bottom"/>
    </xf>
    <xf borderId="8" fillId="0" fontId="29" numFmtId="0" xfId="0" applyAlignment="1" applyBorder="1" applyFont="1">
      <alignment horizontal="left" vertical="bottom"/>
    </xf>
    <xf borderId="8" fillId="0" fontId="42" numFmtId="0" xfId="0" applyAlignment="1" applyBorder="1" applyFont="1">
      <alignment horizontal="center" vertical="bottom"/>
    </xf>
    <xf borderId="8" fillId="0" fontId="29" numFmtId="0" xfId="0" applyAlignment="1" applyBorder="1" applyFont="1">
      <alignment horizontal="center" vertical="bottom"/>
    </xf>
    <xf borderId="10" fillId="0" fontId="29" numFmtId="0" xfId="0" applyAlignment="1" applyBorder="1" applyFont="1">
      <alignment horizontal="left" readingOrder="0" vertical="bottom"/>
    </xf>
    <xf borderId="8" fillId="0" fontId="29" numFmtId="0" xfId="0" applyAlignment="1" applyBorder="1" applyFont="1">
      <alignment horizontal="center" readingOrder="0" vertical="bottom"/>
    </xf>
    <xf borderId="10" fillId="0" fontId="40" numFmtId="0" xfId="0" applyAlignment="1" applyBorder="1" applyFont="1">
      <alignment readingOrder="0" shrinkToFit="0" wrapText="0"/>
    </xf>
    <xf borderId="0" fillId="4" fontId="40" numFmtId="0" xfId="0" applyAlignment="1" applyFill="1" applyFont="1">
      <alignment readingOrder="0" shrinkToFit="0" wrapText="0"/>
    </xf>
    <xf borderId="0" fillId="4" fontId="51" numFmtId="0" xfId="0" applyFill="1" applyFont="1"/>
    <xf borderId="0" fillId="0" fontId="51" numFmtId="0" xfId="0" applyFont="1"/>
    <xf borderId="10" fillId="0" fontId="42" numFmtId="0" xfId="0" applyAlignment="1" applyBorder="1" applyFont="1">
      <alignment readingOrder="0" shrinkToFit="0" wrapText="0"/>
    </xf>
    <xf borderId="8" fillId="0" fontId="42" numFmtId="0" xfId="0" applyAlignment="1" applyBorder="1" applyFont="1">
      <alignment horizontal="left" shrinkToFit="0" wrapText="0"/>
    </xf>
    <xf borderId="8" fillId="0" fontId="42" numFmtId="0" xfId="0" applyAlignment="1" applyBorder="1" applyFont="1">
      <alignment horizontal="center" shrinkToFit="0" wrapText="0"/>
    </xf>
    <xf borderId="10" fillId="0" fontId="43" numFmtId="0" xfId="0" applyAlignment="1" applyBorder="1" applyFont="1">
      <alignment readingOrder="0" shrinkToFit="0" wrapText="0"/>
    </xf>
    <xf borderId="14" fillId="0" fontId="29" numFmtId="0" xfId="0" applyAlignment="1" applyBorder="1" applyFont="1">
      <alignment horizontal="left" vertical="bottom"/>
    </xf>
    <xf borderId="14" fillId="0" fontId="42" numFmtId="0" xfId="0" applyAlignment="1" applyBorder="1" applyFont="1">
      <alignment horizontal="center" vertical="bottom"/>
    </xf>
    <xf borderId="5" fillId="0" fontId="43" numFmtId="167" xfId="0" applyAlignment="1" applyBorder="1" applyFont="1" applyNumberFormat="1">
      <alignment horizontal="center" readingOrder="0" shrinkToFit="0" wrapText="0"/>
    </xf>
    <xf borderId="14" fillId="0" fontId="29" numFmtId="0" xfId="0" applyAlignment="1" applyBorder="1" applyFont="1">
      <alignment horizontal="center" readingOrder="0" shrinkToFit="0" wrapText="0"/>
    </xf>
    <xf quotePrefix="1" borderId="15" fillId="0" fontId="29" numFmtId="0" xfId="0" applyAlignment="1" applyBorder="1" applyFont="1">
      <alignment horizontal="center" readingOrder="0" shrinkToFit="0" wrapText="0"/>
    </xf>
    <xf borderId="15" fillId="0" fontId="40" numFmtId="0" xfId="0" applyAlignment="1" applyBorder="1" applyFont="1">
      <alignment readingOrder="0" shrinkToFit="0" wrapText="0"/>
    </xf>
    <xf borderId="8" fillId="13" fontId="35" numFmtId="167" xfId="0" applyAlignment="1" applyBorder="1" applyFill="1" applyFont="1" applyNumberFormat="1">
      <alignment horizontal="right" vertical="bottom"/>
    </xf>
    <xf borderId="16" fillId="0" fontId="29" numFmtId="0" xfId="0" applyAlignment="1" applyBorder="1" applyFont="1">
      <alignment horizontal="left" readingOrder="0"/>
    </xf>
    <xf borderId="16" fillId="0" fontId="29" numFmtId="0" xfId="0" applyAlignment="1" applyBorder="1" applyFont="1">
      <alignment horizontal="center" readingOrder="0"/>
    </xf>
    <xf borderId="16" fillId="0" fontId="13" numFmtId="4" xfId="0" applyAlignment="1" applyBorder="1" applyFont="1" applyNumberFormat="1">
      <alignment horizontal="right" readingOrder="0" shrinkToFit="0" wrapText="0"/>
    </xf>
    <xf borderId="16" fillId="0" fontId="15" numFmtId="0" xfId="0" applyAlignment="1" applyBorder="1" applyFont="1">
      <alignment horizontal="center" readingOrder="0" shrinkToFit="0" wrapText="0"/>
    </xf>
    <xf borderId="16" fillId="0" fontId="7" numFmtId="0" xfId="0" applyAlignment="1" applyBorder="1" applyFont="1">
      <alignment readingOrder="0" shrinkToFit="0" wrapText="0"/>
    </xf>
    <xf borderId="17" fillId="13" fontId="35" numFmtId="0" xfId="0" applyAlignment="1" applyBorder="1" applyFill="1" applyFont="1">
      <alignment horizontal="center" readingOrder="0" vertical="bottom"/>
    </xf>
    <xf borderId="18" fillId="0" fontId="6" numFmtId="0" xfId="0" applyBorder="1" applyFont="1"/>
    <xf borderId="19" fillId="13" fontId="35" numFmtId="4" xfId="0" applyAlignment="1" applyBorder="1" applyFill="1" applyFont="1" applyNumberFormat="1">
      <alignment horizontal="right" vertical="bottom"/>
    </xf>
    <xf borderId="19" fillId="13" fontId="15" numFmtId="0" xfId="0" applyAlignment="1" applyBorder="1" applyFill="1" applyFont="1">
      <alignment readingOrder="0" vertical="bottom"/>
    </xf>
    <xf borderId="12" fillId="3" fontId="24" numFmtId="0" xfId="0" applyAlignment="1" applyBorder="1" applyFill="1" applyFont="1">
      <alignment horizontal="center" readingOrder="0" shrinkToFit="0" vertical="center" wrapText="0"/>
    </xf>
    <xf borderId="8" fillId="0" fontId="1" numFmtId="167" xfId="0" applyAlignment="1" applyBorder="1" applyFont="1" applyNumberFormat="1">
      <alignment readingOrder="0" shrinkToFit="0" vertical="center" wrapText="0"/>
    </xf>
    <xf borderId="8" fillId="0" fontId="31" numFmtId="3" xfId="0" applyAlignment="1" applyBorder="1" applyFont="1" applyNumberFormat="1">
      <alignment horizontal="center" readingOrder="0" shrinkToFit="0" vertical="center" wrapText="0"/>
    </xf>
    <xf borderId="8" fillId="0" fontId="7" numFmtId="0" xfId="0" applyAlignment="1" applyBorder="1" applyFont="1">
      <alignment horizontal="center" readingOrder="0" shrinkToFit="0" vertical="center" wrapText="0"/>
    </xf>
    <xf borderId="8" fillId="0" fontId="1" numFmtId="0" xfId="0" applyAlignment="1" applyBorder="1" applyFont="1">
      <alignment horizontal="center" readingOrder="0" shrinkToFit="0" vertical="center" wrapText="0"/>
    </xf>
    <xf borderId="8" fillId="0" fontId="1" numFmtId="0" xfId="0" applyAlignment="1" applyBorder="1" applyFont="1">
      <alignment shrinkToFit="0" wrapText="0"/>
    </xf>
    <xf borderId="8" fillId="7" fontId="11" numFmtId="0" xfId="0" applyAlignment="1" applyBorder="1" applyFill="1" applyFont="1">
      <alignment horizontal="center" readingOrder="0" shrinkToFit="0" vertical="center" wrapText="1"/>
    </xf>
    <xf borderId="8" fillId="8" fontId="5" numFmtId="0" xfId="0" applyAlignment="1" applyBorder="1" applyFill="1" applyFont="1">
      <alignment horizontal="center" readingOrder="0" shrinkToFit="0" vertical="center" wrapText="0"/>
    </xf>
    <xf borderId="0" fillId="0" fontId="21" numFmtId="0" xfId="0" applyAlignment="1" applyFont="1">
      <alignment horizontal="center" vertical="bottom"/>
    </xf>
    <xf borderId="7" fillId="0" fontId="49" numFmtId="167" xfId="0" applyAlignment="1" applyBorder="1" applyFont="1" applyNumberFormat="1">
      <alignment horizontal="center" readingOrder="0" shrinkToFit="0" wrapText="0"/>
    </xf>
    <xf borderId="16" fillId="0" fontId="17" numFmtId="0" xfId="0" applyBorder="1" applyFont="1"/>
    <xf borderId="19" fillId="0" fontId="17" numFmtId="0" xfId="0" applyBorder="1" applyFont="1"/>
    <xf borderId="8" fillId="9" fontId="5" numFmtId="0" xfId="0" applyAlignment="1" applyBorder="1" applyFill="1" applyFont="1">
      <alignment horizontal="center" readingOrder="0" shrinkToFit="0" vertical="center" wrapText="1"/>
    </xf>
    <xf borderId="8" fillId="10" fontId="5" numFmtId="0" xfId="0" applyAlignment="1" applyBorder="1" applyFill="1" applyFont="1">
      <alignment horizontal="center" readingOrder="0" shrinkToFit="0" vertical="center" wrapText="0"/>
    </xf>
    <xf borderId="8" fillId="13" fontId="35" numFmtId="167" xfId="0" applyAlignment="1" applyBorder="1" applyFill="1" applyFont="1" applyNumberFormat="1">
      <alignment horizontal="center" vertical="bottom"/>
    </xf>
    <xf borderId="8" fillId="0" fontId="43" numFmtId="167" xfId="0" applyAlignment="1" applyBorder="1" applyFont="1" applyNumberFormat="1">
      <alignment horizontal="center" readingOrder="0" shrinkToFit="0" wrapText="0"/>
    </xf>
    <xf borderId="8" fillId="0" fontId="45" numFmtId="0" xfId="0" applyAlignment="1" applyBorder="1" applyFont="1">
      <alignment readingOrder="0" vertical="bottom"/>
    </xf>
    <xf borderId="16" fillId="0" fontId="13" numFmtId="4" xfId="0" applyAlignment="1" applyBorder="1" applyFont="1" applyNumberFormat="1">
      <alignment horizontal="center" readingOrder="0" shrinkToFit="0" wrapText="0"/>
    </xf>
    <xf borderId="19" fillId="13" fontId="35" numFmtId="4" xfId="0" applyAlignment="1" applyBorder="1" applyFill="1" applyFont="1" applyNumberFormat="1">
      <alignment horizontal="center" vertical="bottom"/>
    </xf>
    <xf borderId="10" fillId="26" fontId="42" numFmtId="0" xfId="0" applyAlignment="1" applyBorder="1" applyFill="1" applyFont="1">
      <alignment horizontal="left" readingOrder="0" shrinkToFit="0" wrapText="0"/>
    </xf>
    <xf borderId="8" fillId="26" fontId="42" numFmtId="0" xfId="0" applyAlignment="1" applyBorder="1" applyFill="1" applyFont="1">
      <alignment horizontal="center" readingOrder="0" shrinkToFit="0" wrapText="0"/>
    </xf>
    <xf borderId="7" fillId="26" fontId="43" numFmtId="167" xfId="0" applyAlignment="1" applyBorder="1" applyFill="1" applyFont="1" applyNumberFormat="1">
      <alignment horizontal="center" readingOrder="0" shrinkToFit="0" wrapText="0"/>
    </xf>
    <xf borderId="8" fillId="26" fontId="29" numFmtId="0" xfId="0" applyAlignment="1" applyBorder="1" applyFill="1" applyFont="1">
      <alignment horizontal="center" readingOrder="0" shrinkToFit="0" wrapText="0"/>
    </xf>
    <xf quotePrefix="1" borderId="10" fillId="26" fontId="29" numFmtId="0" xfId="0" applyAlignment="1" applyBorder="1" applyFill="1" applyFont="1">
      <alignment horizontal="center" readingOrder="0" shrinkToFit="0" wrapText="0"/>
    </xf>
    <xf borderId="10" fillId="26" fontId="44" numFmtId="0" xfId="0" applyAlignment="1" applyBorder="1" applyFill="1" applyFont="1">
      <alignment readingOrder="0" shrinkToFit="0" wrapText="0"/>
    </xf>
    <xf borderId="7" fillId="20" fontId="29" numFmtId="0" xfId="0" applyAlignment="1" applyBorder="1" applyFill="1" applyFont="1">
      <alignment readingOrder="0" vertical="bottom"/>
    </xf>
    <xf borderId="0" fillId="20" fontId="29" numFmtId="167" xfId="0" applyAlignment="1" applyFill="1" applyFont="1" applyNumberFormat="1">
      <alignment readingOrder="0" vertical="bottom"/>
    </xf>
    <xf borderId="0" fillId="20" fontId="29" numFmtId="0" xfId="0" applyAlignment="1" applyFill="1" applyFont="1">
      <alignment readingOrder="0" vertical="bottom"/>
    </xf>
    <xf borderId="0" fillId="0" fontId="45" numFmtId="0" xfId="0" applyAlignment="1" applyFont="1">
      <alignment readingOrder="0" vertical="bottom"/>
    </xf>
    <xf borderId="0" fillId="0" fontId="45" numFmtId="0" xfId="0" applyAlignment="1" applyFont="1">
      <alignment readingOrder="0" vertical="bottom"/>
    </xf>
    <xf borderId="0" fillId="0" fontId="43" numFmtId="167" xfId="0" applyAlignment="1" applyFont="1" applyNumberFormat="1">
      <alignment readingOrder="0" shrinkToFit="0" wrapText="0"/>
    </xf>
    <xf borderId="0" fillId="0" fontId="43" numFmtId="0" xfId="0" applyAlignment="1" applyFont="1">
      <alignment readingOrder="0" shrinkToFit="0" wrapText="0"/>
    </xf>
    <xf borderId="0" fillId="0" fontId="49" numFmtId="0" xfId="0" applyAlignment="1" applyFont="1">
      <alignment readingOrder="0" vertical="bottom"/>
    </xf>
    <xf borderId="16" fillId="0" fontId="17" numFmtId="0" xfId="0" applyAlignment="1" applyBorder="1" applyFont="1">
      <alignment horizontal="center"/>
    </xf>
    <xf borderId="19" fillId="0" fontId="17" numFmtId="0" xfId="0" applyAlignment="1" applyBorder="1" applyFont="1">
      <alignment horizontal="center"/>
    </xf>
    <xf borderId="0" fillId="0" fontId="17" numFmtId="0" xfId="0" applyAlignment="1" applyFont="1">
      <alignment horizontal="center"/>
    </xf>
    <xf borderId="0" fillId="4" fontId="43" numFmtId="0" xfId="0" applyAlignment="1" applyFill="1" applyFont="1">
      <alignment readingOrder="0" shrinkToFit="0" wrapText="0"/>
    </xf>
    <xf borderId="0" fillId="20" fontId="29" numFmtId="0" xfId="0" applyAlignment="1" applyFill="1" applyFont="1">
      <alignment readingOrder="0" vertical="bottom"/>
    </xf>
    <xf borderId="8" fillId="13" fontId="45" numFmtId="0" xfId="0" applyAlignment="1" applyBorder="1" applyFill="1" applyFont="1">
      <alignment readingOrder="0" vertical="bottom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33">
    <tableStyle count="2" pivot="0" name="ABRIL 2025-style">
      <tableStyleElement dxfId="1" type="firstRowStripe"/>
      <tableStyleElement dxfId="2" type="secondRowStripe"/>
    </tableStyle>
    <tableStyle count="2" pivot="0" name="MAIO 2025-style">
      <tableStyleElement dxfId="1" type="firstRowStripe"/>
      <tableStyleElement dxfId="2" type="secondRowStripe"/>
    </tableStyle>
    <tableStyle count="2" pivot="0" name="MAIO 2025-style 2">
      <tableStyleElement dxfId="2" type="firstRowStripe"/>
      <tableStyleElement dxfId="1" type="secondRowStripe"/>
    </tableStyle>
    <tableStyle count="2" pivot="0" name="JUNHO 2025-style">
      <tableStyleElement dxfId="1" type="firstRowStripe"/>
      <tableStyleElement dxfId="2" type="secondRowStripe"/>
    </tableStyle>
    <tableStyle count="2" pivot="0" name="JUNHO 2025-style 2">
      <tableStyleElement dxfId="2" type="firstRowStripe"/>
      <tableStyleElement dxfId="1" type="secondRowStripe"/>
    </tableStyle>
    <tableStyle count="2" pivot="0" name="JULHO 2025-style">
      <tableStyleElement dxfId="2" type="firstRowStripe"/>
      <tableStyleElement dxfId="1" type="secondRowStripe"/>
    </tableStyle>
    <tableStyle count="2" pivot="0" name="AGOSTO 2025-style">
      <tableStyleElement dxfId="2" type="firstRowStripe"/>
      <tableStyleElement dxfId="1" type="secondRowStripe"/>
    </tableStyle>
    <tableStyle count="2" pivot="0" name="SETEMBRO 2025-style">
      <tableStyleElement dxfId="2" type="firstRowStripe"/>
      <tableStyleElement dxfId="1" type="secondRowStripe"/>
    </tableStyle>
    <tableStyle count="2" pivot="0" name="OUTUBRO 2025-style">
      <tableStyleElement dxfId="2" type="firstRowStripe"/>
      <tableStyleElement dxfId="1" type="secondRowStripe"/>
    </tableStyle>
    <tableStyle count="2" pivot="0" name="NOVEMBRO 2025-style">
      <tableStyleElement dxfId="2" type="firstRowStripe"/>
      <tableStyleElement dxfId="1" type="secondRowStripe"/>
    </tableStyle>
    <tableStyle count="2" pivot="0" name="DEZEMBRO 2025-style">
      <tableStyleElement dxfId="2" type="firstRowStripe"/>
      <tableStyleElement dxfId="1" type="secondRowStripe"/>
    </tableStyle>
    <tableStyle count="2" pivot="0" name="JANEIRO 2026-style">
      <tableStyleElement dxfId="2" type="firstRowStripe"/>
      <tableStyleElement dxfId="1" type="secondRowStripe"/>
    </tableStyle>
    <tableStyle count="2" pivot="0" name="FEVEREIRO 2026-style">
      <tableStyleElement dxfId="2" type="firstRowStripe"/>
      <tableStyleElement dxfId="1" type="secondRowStripe"/>
    </tableStyle>
    <tableStyle count="2" pivot="0" name="MARÇO 2026-style">
      <tableStyleElement dxfId="2" type="firstRowStripe"/>
      <tableStyleElement dxfId="1" type="secondRowStripe"/>
    </tableStyle>
    <tableStyle count="2" pivot="0" name="MARÇO 2026-style 2">
      <tableStyleElement dxfId="2" type="firstRowStripe"/>
      <tableStyleElement dxfId="1" type="secondRowStripe"/>
    </tableStyle>
    <tableStyle count="2" pivot="0" name="ABRIL 2026-style">
      <tableStyleElement dxfId="2" type="firstRowStripe"/>
      <tableStyleElement dxfId="1" type="secondRowStripe"/>
    </tableStyle>
    <tableStyle count="2" pivot="0" name="ABRIL 2026-style 2">
      <tableStyleElement dxfId="2" type="firstRowStripe"/>
      <tableStyleElement dxfId="1" type="secondRowStripe"/>
    </tableStyle>
    <tableStyle count="2" pivot="0" name="MAIO 2026-style">
      <tableStyleElement dxfId="2" type="firstRowStripe"/>
      <tableStyleElement dxfId="1" type="secondRowStripe"/>
    </tableStyle>
    <tableStyle count="2" pivot="0" name="MAIO 2026-style 2">
      <tableStyleElement dxfId="2" type="firstRowStripe"/>
      <tableStyleElement dxfId="1" type="secondRowStripe"/>
    </tableStyle>
    <tableStyle count="2" pivot="0" name="JUNHO 2026-style">
      <tableStyleElement dxfId="2" type="firstRowStripe"/>
      <tableStyleElement dxfId="1" type="secondRowStripe"/>
    </tableStyle>
    <tableStyle count="2" pivot="0" name="JUNHO 2026-style 2">
      <tableStyleElement dxfId="2" type="firstRowStripe"/>
      <tableStyleElement dxfId="1" type="secondRowStripe"/>
    </tableStyle>
    <tableStyle count="2" pivot="0" name="JULHO 2026-style">
      <tableStyleElement dxfId="2" type="firstRowStripe"/>
      <tableStyleElement dxfId="1" type="secondRowStripe"/>
    </tableStyle>
    <tableStyle count="2" pivot="0" name="JULHO 2026-style 2">
      <tableStyleElement dxfId="2" type="firstRowStripe"/>
      <tableStyleElement dxfId="1" type="secondRowStripe"/>
    </tableStyle>
    <tableStyle count="2" pivot="0" name="JULHO 2026-style 3">
      <tableStyleElement dxfId="2" type="firstRowStripe"/>
      <tableStyleElement dxfId="1" type="secondRowStripe"/>
    </tableStyle>
    <tableStyle count="2" pivot="0" name="AGOSTO 2026-style">
      <tableStyleElement dxfId="2" type="firstRowStripe"/>
      <tableStyleElement dxfId="1" type="secondRowStripe"/>
    </tableStyle>
    <tableStyle count="2" pivot="0" name="AGOSTO 2026-style 2">
      <tableStyleElement dxfId="2" type="firstRowStripe"/>
      <tableStyleElement dxfId="1" type="secondRowStripe"/>
    </tableStyle>
    <tableStyle count="2" pivot="0" name="AGOSTO 2026-style 3">
      <tableStyleElement dxfId="2" type="firstRowStripe"/>
      <tableStyleElement dxfId="1" type="secondRowStripe"/>
    </tableStyle>
    <tableStyle count="2" pivot="0" name="SETEMBRO 2026-style">
      <tableStyleElement dxfId="2" type="firstRowStripe"/>
      <tableStyleElement dxfId="1" type="secondRowStripe"/>
    </tableStyle>
    <tableStyle count="2" pivot="0" name="SETEMBRO 2026-style 2">
      <tableStyleElement dxfId="2" type="firstRowStripe"/>
      <tableStyleElement dxfId="1" type="secondRowStripe"/>
    </tableStyle>
    <tableStyle count="2" pivot="0" name="SETEMBRO 2026-style 3">
      <tableStyleElement dxfId="2" type="firstRowStripe"/>
      <tableStyleElement dxfId="1" type="secondRowStripe"/>
    </tableStyle>
    <tableStyle count="2" pivot="0" name="OUTUBRO 2026-style">
      <tableStyleElement dxfId="2" type="firstRowStripe"/>
      <tableStyleElement dxfId="1" type="secondRowStripe"/>
    </tableStyle>
    <tableStyle count="2" pivot="0" name="OUTUBRO 2026-style 2">
      <tableStyleElement dxfId="2" type="firstRowStripe"/>
      <tableStyleElement dxfId="1" type="secondRowStripe"/>
    </tableStyle>
    <tableStyle count="2" pivot="0" name="OUTUBRO 2026-style 3"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20" Type="http://schemas.openxmlformats.org/officeDocument/2006/relationships/worksheet" Target="worksheets/sheet16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65" Type="http://schemas.openxmlformats.org/officeDocument/2006/relationships/worksheet" Target="worksheets/sheet61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60" Type="http://schemas.openxmlformats.org/officeDocument/2006/relationships/worksheet" Target="worksheets/sheet56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55" Type="http://schemas.openxmlformats.org/officeDocument/2006/relationships/worksheet" Target="worksheets/sheet51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57" Type="http://schemas.openxmlformats.org/officeDocument/2006/relationships/worksheet" Target="worksheets/sheet53.xml"/><Relationship Id="rId12" Type="http://schemas.openxmlformats.org/officeDocument/2006/relationships/worksheet" Target="worksheets/sheet8.xml"/><Relationship Id="rId56" Type="http://schemas.openxmlformats.org/officeDocument/2006/relationships/worksheet" Target="worksheets/sheet52.xml"/><Relationship Id="rId15" Type="http://schemas.openxmlformats.org/officeDocument/2006/relationships/worksheet" Target="worksheets/sheet11.xml"/><Relationship Id="rId59" Type="http://schemas.openxmlformats.org/officeDocument/2006/relationships/worksheet" Target="worksheets/sheet55.xml"/><Relationship Id="rId14" Type="http://schemas.openxmlformats.org/officeDocument/2006/relationships/worksheet" Target="worksheets/sheet10.xml"/><Relationship Id="rId58" Type="http://schemas.openxmlformats.org/officeDocument/2006/relationships/worksheet" Target="worksheets/sheet54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dministrativo | Nevine" id="{8d7734d0-b49f-4b28-affa-692885975abb}" providerId="google-sheets"/>
</x18tc:personList>
</file>

<file path=xl/tables/table1.xml><?xml version="1.0" encoding="utf-8"?>
<table xmlns="http://schemas.openxmlformats.org/spreadsheetml/2006/main" headerRowCount="0" ref="A28:A29" displayName="Table_1" name="Table_1" id="1">
  <tableColumns count="1">
    <tableColumn name="Column1" id="1"/>
  </tableColumns>
  <tableStyleInfo name="ABRIL 2025-style" showColumnStripes="0" showFirstColumn="1" showLastColumn="1" showRowStripes="1"/>
</table>
</file>

<file path=xl/tables/table2.xml><?xml version="1.0" encoding="utf-8"?>
<table xmlns="http://schemas.openxmlformats.org/spreadsheetml/2006/main" headerRowCount="0" ref="A12:B12" displayName="Table_2" name="Table_2" id="2">
  <tableColumns count="2">
    <tableColumn name="Column1" id="1"/>
    <tableColumn name="Column2" id="2"/>
  </tableColumns>
  <tableStyleInfo name="MAIO 2025-style" showColumnStripes="0" showFirstColumn="1" showLastColumn="1" showRowStripes="1"/>
</table>
</file>

<file path=xl/tables/table3.xml><?xml version="1.0" encoding="utf-8"?>
<table xmlns="http://schemas.openxmlformats.org/spreadsheetml/2006/main" headerRowCount="0" ref="A15:B16" displayName="Table_3" name="Table_3" id="3">
  <tableColumns count="2">
    <tableColumn name="Column1" id="1"/>
    <tableColumn name="Column2" id="2"/>
  </tableColumns>
  <tableStyleInfo name="MAIO 2025-style 2" showColumnStripes="0" showFirstColumn="1" showLastColumn="1" showRowStripes="1"/>
</table>
</file>

<file path=xl/tables/table4.xml><?xml version="1.0" encoding="utf-8"?>
<table xmlns="http://schemas.openxmlformats.org/spreadsheetml/2006/main" headerRowCount="0" ref="A12:B12" displayName="Table_4" name="Table_4" id="4">
  <tableColumns count="2">
    <tableColumn name="Column1" id="1"/>
    <tableColumn name="Column2" id="2"/>
  </tableColumns>
  <tableStyleInfo name="JUNHO 2025-style" showColumnStripes="0" showFirstColumn="1" showLastColumn="1" showRowStripes="1"/>
</table>
</file>

<file path=xl/tables/table5.xml><?xml version="1.0" encoding="utf-8"?>
<table xmlns="http://schemas.openxmlformats.org/spreadsheetml/2006/main" headerRowCount="0" ref="A15:B15" displayName="Table_5" name="Table_5" id="5">
  <tableColumns count="2">
    <tableColumn name="Column1" id="1"/>
    <tableColumn name="Column2" id="2"/>
  </tableColumns>
  <tableStyleInfo name="JUNHO 2025-style 2" showColumnStripes="0" showFirstColumn="1" showLastColumn="1" showRowStripes="1"/>
</table>
</file>

<file path=xl/tables/table6.xml><?xml version="1.0" encoding="utf-8"?>
<table xmlns="http://schemas.openxmlformats.org/spreadsheetml/2006/main" headerRowCount="0" ref="A32:F40" displayName="Table_6" name="Table_6" id="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JULHO 2025-style" showColumnStripes="0" showFirstColumn="1" showLastColumn="1" showRowStripes="1"/>
</table>
</file>

<file path=xl/tables/table7.xml><?xml version="1.0" encoding="utf-8"?>
<table xmlns="http://schemas.openxmlformats.org/spreadsheetml/2006/main" headerRowCount="0" ref="A32:F40" displayName="Table_7" name="Table_7" id="7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AGOSTO 2025-style" showColumnStripes="0" showFirstColumn="1" showLastColumn="1" showRowStripes="1"/>
</table>
</file>

<file path=xl/tables/table8.xml><?xml version="1.0" encoding="utf-8"?>
<table xmlns="http://schemas.openxmlformats.org/spreadsheetml/2006/main" headerRowCount="0" ref="A33:F39" displayName="Table_8" name="Table_8" id="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ETEMBRO 2025-style" showColumnStripes="0" showFirstColumn="1" showLastColumn="1" showRowStripes="1"/>
</table>
</file>

<file path=xl/tables/table9.xml><?xml version="1.0" encoding="utf-8"?>
<table xmlns="http://schemas.openxmlformats.org/spreadsheetml/2006/main" headerRowCount="0" ref="A34:F42" displayName="Table_9" name="Table_9" id="9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OUTUBRO 2025-style" showColumnStripes="0" showFirstColumn="1" showLastColumn="1" showRowStripes="1"/>
</table>
</file>

<file path=xl/tables/table10.xml><?xml version="1.0" encoding="utf-8"?>
<table xmlns="http://schemas.openxmlformats.org/spreadsheetml/2006/main" headerRowCount="0" ref="A33:F40" displayName="Table_10" name="Table_10" id="10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NOVEMBRO 2025-style" showColumnStripes="0" showFirstColumn="1" showLastColumn="1" showRowStripes="1"/>
</table>
</file>

<file path=xl/tables/table11.xml><?xml version="1.0" encoding="utf-8"?>
<table xmlns="http://schemas.openxmlformats.org/spreadsheetml/2006/main" headerRowCount="0" ref="A35:F43" displayName="Table_11" name="Table_11" id="1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DEZEMBRO 2025-style" showColumnStripes="0" showFirstColumn="1" showLastColumn="1" showRowStripes="1"/>
</table>
</file>

<file path=xl/tables/table12.xml><?xml version="1.0" encoding="utf-8"?>
<table xmlns="http://schemas.openxmlformats.org/spreadsheetml/2006/main" headerRowCount="0" ref="A30:F38" displayName="Table_12" name="Table_12" id="1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JANEIRO 2026-style" showColumnStripes="0" showFirstColumn="1" showLastColumn="1" showRowStripes="1"/>
</table>
</file>

<file path=xl/tables/table13.xml><?xml version="1.0" encoding="utf-8"?>
<table xmlns="http://schemas.openxmlformats.org/spreadsheetml/2006/main" headerRowCount="0" ref="A32:F40" displayName="Table_13" name="Table_13" id="1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FEVEREIRO 2026-style" showColumnStripes="0" showFirstColumn="1" showLastColumn="1" showRowStripes="1"/>
</table>
</file>

<file path=xl/tables/table14.xml><?xml version="1.0" encoding="utf-8"?>
<table xmlns="http://schemas.openxmlformats.org/spreadsheetml/2006/main" headerRowCount="0" ref="A33:F39" displayName="Table_14" name="Table_14" id="1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MARÇO 2026-style" showColumnStripes="0" showFirstColumn="1" showLastColumn="1" showRowStripes="1"/>
</table>
</file>

<file path=xl/tables/table15.xml><?xml version="1.0" encoding="utf-8"?>
<table xmlns="http://schemas.openxmlformats.org/spreadsheetml/2006/main" headerRowCount="0" ref="A49:F57" displayName="Table_15" name="Table_15" id="1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MARÇO 2026-style 2" showColumnStripes="0" showFirstColumn="1" showLastColumn="1" showRowStripes="1"/>
</table>
</file>

<file path=xl/tables/table16.xml><?xml version="1.0" encoding="utf-8"?>
<table xmlns="http://schemas.openxmlformats.org/spreadsheetml/2006/main" headerRowCount="0" ref="A33:F39" displayName="Table_16" name="Table_16" id="1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ABRIL 2026-style" showColumnStripes="0" showFirstColumn="1" showLastColumn="1" showRowStripes="1"/>
</table>
</file>

<file path=xl/tables/table17.xml><?xml version="1.0" encoding="utf-8"?>
<table xmlns="http://schemas.openxmlformats.org/spreadsheetml/2006/main" headerRowCount="0" ref="A49:F57" displayName="Table_17" name="Table_17" id="17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ABRIL 2026-style 2" showColumnStripes="0" showFirstColumn="1" showLastColumn="1" showRowStripes="1"/>
</table>
</file>

<file path=xl/tables/table18.xml><?xml version="1.0" encoding="utf-8"?>
<table xmlns="http://schemas.openxmlformats.org/spreadsheetml/2006/main" headerRowCount="0" ref="A33:F39" displayName="Table_18" name="Table_18" id="1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MAIO 2026-style" showColumnStripes="0" showFirstColumn="1" showLastColumn="1" showRowStripes="1"/>
</table>
</file>

<file path=xl/tables/table19.xml><?xml version="1.0" encoding="utf-8"?>
<table xmlns="http://schemas.openxmlformats.org/spreadsheetml/2006/main" headerRowCount="0" ref="A49:F57" displayName="Table_19" name="Table_19" id="19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MAIO 2026-style 2" showColumnStripes="0" showFirstColumn="1" showLastColumn="1" showRowStripes="1"/>
</table>
</file>

<file path=xl/tables/table20.xml><?xml version="1.0" encoding="utf-8"?>
<table xmlns="http://schemas.openxmlformats.org/spreadsheetml/2006/main" headerRowCount="0" ref="A33:F39" displayName="Table_20" name="Table_20" id="20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JUNHO 2026-style" showColumnStripes="0" showFirstColumn="1" showLastColumn="1" showRowStripes="1"/>
</table>
</file>

<file path=xl/tables/table21.xml><?xml version="1.0" encoding="utf-8"?>
<table xmlns="http://schemas.openxmlformats.org/spreadsheetml/2006/main" headerRowCount="0" ref="A48:F55" displayName="Table_21" name="Table_21" id="2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JUNHO 2026-style 2" showColumnStripes="0" showFirstColumn="1" showLastColumn="1" showRowStripes="1"/>
</table>
</file>

<file path=xl/tables/table22.xml><?xml version="1.0" encoding="utf-8"?>
<table xmlns="http://schemas.openxmlformats.org/spreadsheetml/2006/main" headerRowCount="0" ref="A6:H22" displayName="Table_22" name="Table_22" id="22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JULHO 2026-style" showColumnStripes="0" showFirstColumn="1" showLastColumn="1" showRowStripes="1"/>
</table>
</file>

<file path=xl/tables/table23.xml><?xml version="1.0" encoding="utf-8"?>
<table xmlns="http://schemas.openxmlformats.org/spreadsheetml/2006/main" headerRowCount="0" ref="A31:F37" displayName="Table_23" name="Table_23" id="2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JULHO 2026-style 2" showColumnStripes="0" showFirstColumn="1" showLastColumn="1" showRowStripes="1"/>
</table>
</file>

<file path=xl/tables/table24.xml><?xml version="1.0" encoding="utf-8"?>
<table xmlns="http://schemas.openxmlformats.org/spreadsheetml/2006/main" headerRowCount="0" ref="A46:F48" displayName="Table_24" name="Table_24" id="2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JULHO 2026-style 3" showColumnStripes="0" showFirstColumn="1" showLastColumn="1" showRowStripes="1"/>
</table>
</file>

<file path=xl/tables/table25.xml><?xml version="1.0" encoding="utf-8"?>
<table xmlns="http://schemas.openxmlformats.org/spreadsheetml/2006/main" headerRowCount="0" ref="A6:H22" displayName="Table_25" name="Table_25" id="25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AGOSTO 2026-style" showColumnStripes="0" showFirstColumn="1" showLastColumn="1" showRowStripes="1"/>
</table>
</file>

<file path=xl/tables/table26.xml><?xml version="1.0" encoding="utf-8"?>
<table xmlns="http://schemas.openxmlformats.org/spreadsheetml/2006/main" headerRowCount="0" ref="A31:K37" displayName="Table_26" name="Table_26" id="26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AGOSTO 2026-style 2" showColumnStripes="0" showFirstColumn="1" showLastColumn="1" showRowStripes="1"/>
</table>
</file>

<file path=xl/tables/table27.xml><?xml version="1.0" encoding="utf-8"?>
<table xmlns="http://schemas.openxmlformats.org/spreadsheetml/2006/main" headerRowCount="0" ref="A46:F47" displayName="Table_27" name="Table_27" id="27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AGOSTO 2026-style 3" showColumnStripes="0" showFirstColumn="1" showLastColumn="1" showRowStripes="1"/>
</table>
</file>

<file path=xl/tables/table28.xml><?xml version="1.0" encoding="utf-8"?>
<table xmlns="http://schemas.openxmlformats.org/spreadsheetml/2006/main" headerRowCount="0" ref="A6:H22" displayName="Table_28" name="Table_28" id="28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SETEMBRO 2026-style" showColumnStripes="0" showFirstColumn="1" showLastColumn="1" showRowStripes="1"/>
</table>
</file>

<file path=xl/tables/table29.xml><?xml version="1.0" encoding="utf-8"?>
<table xmlns="http://schemas.openxmlformats.org/spreadsheetml/2006/main" headerRowCount="0" ref="A31:K37" displayName="Table_29" name="Table_29" id="29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SETEMBRO 2026-style 2" showColumnStripes="0" showFirstColumn="1" showLastColumn="1" showRowStripes="1"/>
</table>
</file>

<file path=xl/tables/table30.xml><?xml version="1.0" encoding="utf-8"?>
<table xmlns="http://schemas.openxmlformats.org/spreadsheetml/2006/main" headerRowCount="0" ref="A46:F46" displayName="Table_30" name="Table_30" id="30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ETEMBRO 2026-style 3" showColumnStripes="0" showFirstColumn="1" showLastColumn="1" showRowStripes="1"/>
</table>
</file>

<file path=xl/tables/table31.xml><?xml version="1.0" encoding="utf-8"?>
<table xmlns="http://schemas.openxmlformats.org/spreadsheetml/2006/main" headerRowCount="0" ref="A6:H22" displayName="Table_31" name="Table_31" id="31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OUTUBRO 2026-style" showColumnStripes="0" showFirstColumn="1" showLastColumn="1" showRowStripes="1"/>
</table>
</file>

<file path=xl/tables/table32.xml><?xml version="1.0" encoding="utf-8"?>
<table xmlns="http://schemas.openxmlformats.org/spreadsheetml/2006/main" headerRowCount="0" ref="A31:K37" displayName="Table_32" name="Table_32" id="32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OUTUBRO 2026-style 2" showColumnStripes="0" showFirstColumn="1" showLastColumn="1" showRowStripes="1"/>
</table>
</file>

<file path=xl/tables/table33.xml><?xml version="1.0" encoding="utf-8"?>
<table xmlns="http://schemas.openxmlformats.org/spreadsheetml/2006/main" headerRowCount="0" ref="A46:F47" displayName="Table_33" name="Table_33" id="3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OUTUBRO 2026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8" dT="2023-03-28T15:23:51.00" personId="{8d7734d0-b49f-4b28-affa-692885975abb}" id="{e09aed61-a206-4dfe-9b15-b9a99e5b5c90}" done="0">
    <x18tc:text xml:space="preserve">cx economica</x18tc:text>
  </x18tc:threadedComment>
  <x18tc:threadedComment ref="A11" dT="2023-03-28T15:24:30.00" personId="{8d7734d0-b49f-4b28-affa-692885975abb}" id="{1edb2107-ad45-4a69-ac93-22fba1fa69ce}" done="0">
    <x18tc:text xml:space="preserve">nu pagamentos</x18tc:text>
  </x18tc:threadedComment>
  <x18tc:threadedComment ref="A30" dT="2023-03-28T15:25:06.00" personId="{8d7734d0-b49f-4b28-affa-692885975abb}" id="{8f301e38-f79a-4849-a9c8-ebf68a3d165d}" done="0">
    <x18tc:text xml:space="preserve">nu pagamento</x18tc:text>
  </x18tc:threadedComment>
  <x18tc:threadedComment ref="A20" dT="2023-03-28T15:25:35.00" personId="{8d7734d0-b49f-4b28-affa-692885975abb}" id="{c4d8c3d4-e31f-442e-9ab0-439acf8eb671}" done="0">
    <x18tc:text xml:space="preserve">cx economica</x18tc:text>
  </x18tc:threadedComment>
  <x18tc:threadedComment ref="A19" dT="2023-03-28T15:25:52.00" personId="{8d7734d0-b49f-4b28-affa-692885975abb}" id="{c3af8727-e421-4be8-a619-ffd4857a4fe1}" done="0">
    <x18tc:text xml:space="preserve">nu pagamento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8.xml"/><Relationship Id="rId5" Type="http://schemas.openxmlformats.org/officeDocument/2006/relationships/vmlDrawing" Target="../drawings/vmlDrawing1.v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9.xml"/><Relationship Id="rId3" Type="http://schemas.openxmlformats.org/officeDocument/2006/relationships/vmlDrawing" Target="../drawings/vmlDrawing2.v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20.xml"/><Relationship Id="rId3" Type="http://schemas.openxmlformats.org/officeDocument/2006/relationships/vmlDrawing" Target="../drawings/vmlDrawing3.v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21.xml"/><Relationship Id="rId3" Type="http://schemas.openxmlformats.org/officeDocument/2006/relationships/vmlDrawing" Target="../drawings/vmlDrawing4.v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22.xml"/><Relationship Id="rId3" Type="http://schemas.openxmlformats.org/officeDocument/2006/relationships/vmlDrawing" Target="../drawings/vmlDrawing5.v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23.xml"/><Relationship Id="rId3" Type="http://schemas.openxmlformats.org/officeDocument/2006/relationships/vmlDrawing" Target="../drawings/vmlDrawing6.v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24.xml"/><Relationship Id="rId3" Type="http://schemas.openxmlformats.org/officeDocument/2006/relationships/vmlDrawing" Target="../drawings/vmlDrawing7.v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25.xml"/><Relationship Id="rId3" Type="http://schemas.openxmlformats.org/officeDocument/2006/relationships/vmlDrawing" Target="../drawings/vmlDrawing8.v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26.xml"/><Relationship Id="rId3" Type="http://schemas.openxmlformats.org/officeDocument/2006/relationships/vmlDrawing" Target="../drawings/vmlDrawing9.v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27.xml"/><Relationship Id="rId3" Type="http://schemas.openxmlformats.org/officeDocument/2006/relationships/vmlDrawing" Target="../drawings/vmlDrawing10.v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28.xml"/><Relationship Id="rId3" Type="http://schemas.openxmlformats.org/officeDocument/2006/relationships/vmlDrawing" Target="../drawings/vmlDrawing11.v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drawing" Target="../drawings/drawing29.xml"/><Relationship Id="rId3" Type="http://schemas.openxmlformats.org/officeDocument/2006/relationships/vmlDrawing" Target="../drawings/vmlDrawing12.v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drawing" Target="../drawings/drawing30.xml"/><Relationship Id="rId3" Type="http://schemas.openxmlformats.org/officeDocument/2006/relationships/vmlDrawing" Target="../drawings/vmlDrawing13.v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drawing" Target="../drawings/drawing31.xml"/><Relationship Id="rId3" Type="http://schemas.openxmlformats.org/officeDocument/2006/relationships/vmlDrawing" Target="../drawings/vmlDrawing14.v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drawing" Target="../drawings/drawing32.xml"/><Relationship Id="rId3" Type="http://schemas.openxmlformats.org/officeDocument/2006/relationships/vmlDrawing" Target="../drawings/vmlDrawing15.v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Relationship Id="rId3" Type="http://schemas.openxmlformats.org/officeDocument/2006/relationships/table" Target="../tables/table1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Relationship Id="rId4" Type="http://schemas.openxmlformats.org/officeDocument/2006/relationships/table" Target="../tables/table2.xml"/><Relationship Id="rId5" Type="http://schemas.openxmlformats.org/officeDocument/2006/relationships/table" Target="../tables/table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Relationship Id="rId3" Type="http://schemas.openxmlformats.org/officeDocument/2006/relationships/table" Target="../tables/table6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Relationship Id="rId3" Type="http://schemas.openxmlformats.org/officeDocument/2006/relationships/table" Target="../tables/table7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Relationship Id="rId3" Type="http://schemas.openxmlformats.org/officeDocument/2006/relationships/table" Target="../tables/table8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Relationship Id="rId3" Type="http://schemas.openxmlformats.org/officeDocument/2006/relationships/table" Target="../tables/table9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Relationship Id="rId3" Type="http://schemas.openxmlformats.org/officeDocument/2006/relationships/table" Target="../tables/table1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Relationship Id="rId3" Type="http://schemas.openxmlformats.org/officeDocument/2006/relationships/table" Target="../tables/table1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Relationship Id="rId3" Type="http://schemas.openxmlformats.org/officeDocument/2006/relationships/table" Target="../tables/table1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Relationship Id="rId3" Type="http://schemas.openxmlformats.org/officeDocument/2006/relationships/table" Target="../tables/table1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Relationship Id="rId4" Type="http://schemas.openxmlformats.org/officeDocument/2006/relationships/table" Target="../tables/table14.xml"/><Relationship Id="rId5" Type="http://schemas.openxmlformats.org/officeDocument/2006/relationships/table" Target="../tables/table15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Relationship Id="rId4" Type="http://schemas.openxmlformats.org/officeDocument/2006/relationships/table" Target="../tables/table16.xml"/><Relationship Id="rId5" Type="http://schemas.openxmlformats.org/officeDocument/2006/relationships/table" Target="../tables/table17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Relationship Id="rId4" Type="http://schemas.openxmlformats.org/officeDocument/2006/relationships/table" Target="../tables/table18.xml"/><Relationship Id="rId5" Type="http://schemas.openxmlformats.org/officeDocument/2006/relationships/table" Target="../tables/table19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Relationship Id="rId4" Type="http://schemas.openxmlformats.org/officeDocument/2006/relationships/table" Target="../tables/table20.xml"/><Relationship Id="rId5" Type="http://schemas.openxmlformats.org/officeDocument/2006/relationships/table" Target="../tables/table21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Relationship Id="rId5" Type="http://schemas.openxmlformats.org/officeDocument/2006/relationships/table" Target="../tables/table22.xml"/><Relationship Id="rId6" Type="http://schemas.openxmlformats.org/officeDocument/2006/relationships/table" Target="../tables/table23.xml"/><Relationship Id="rId7" Type="http://schemas.openxmlformats.org/officeDocument/2006/relationships/table" Target="../tables/table24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Relationship Id="rId5" Type="http://schemas.openxmlformats.org/officeDocument/2006/relationships/table" Target="../tables/table25.xml"/><Relationship Id="rId6" Type="http://schemas.openxmlformats.org/officeDocument/2006/relationships/table" Target="../tables/table26.xml"/><Relationship Id="rId7" Type="http://schemas.openxmlformats.org/officeDocument/2006/relationships/table" Target="../tables/table27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Relationship Id="rId5" Type="http://schemas.openxmlformats.org/officeDocument/2006/relationships/table" Target="../tables/table28.xml"/><Relationship Id="rId6" Type="http://schemas.openxmlformats.org/officeDocument/2006/relationships/table" Target="../tables/table29.xml"/><Relationship Id="rId7" Type="http://schemas.openxmlformats.org/officeDocument/2006/relationships/table" Target="../tables/table3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Relationship Id="rId5" Type="http://schemas.openxmlformats.org/officeDocument/2006/relationships/table" Target="../tables/table31.xml"/><Relationship Id="rId6" Type="http://schemas.openxmlformats.org/officeDocument/2006/relationships/table" Target="../tables/table32.xml"/><Relationship Id="rId7" Type="http://schemas.openxmlformats.org/officeDocument/2006/relationships/table" Target="../tables/table3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38"/>
  </cols>
  <sheetData>
    <row r="2">
      <c r="A2" s="1"/>
      <c r="B2" s="2"/>
      <c r="C2" s="2"/>
      <c r="D2" s="3"/>
      <c r="E2" s="3"/>
      <c r="F2" s="4"/>
      <c r="G2" s="5"/>
    </row>
    <row r="3">
      <c r="A3" s="6"/>
      <c r="B3" s="8"/>
      <c r="C3" s="8"/>
      <c r="D3" s="5"/>
      <c r="E3" s="5"/>
      <c r="F3" s="10"/>
      <c r="G3" s="5"/>
    </row>
    <row r="4">
      <c r="A4" s="6"/>
      <c r="B4" s="8"/>
      <c r="C4" s="8"/>
      <c r="D4" s="5"/>
      <c r="E4" s="14" t="s">
        <v>3</v>
      </c>
      <c r="F4" s="15"/>
      <c r="G4" s="5"/>
    </row>
    <row r="5">
      <c r="A5" s="6"/>
      <c r="B5" s="8"/>
      <c r="C5" s="8"/>
      <c r="D5" s="5"/>
      <c r="E5" s="5"/>
      <c r="F5" s="10"/>
      <c r="G5" s="5"/>
    </row>
    <row r="6">
      <c r="A6" s="16"/>
      <c r="B6" s="8"/>
      <c r="C6" s="8"/>
      <c r="D6" s="5"/>
      <c r="E6" s="18" t="s">
        <v>6</v>
      </c>
      <c r="F6" s="26">
        <f>SUM(C13:C37)</f>
        <v>7686</v>
      </c>
      <c r="G6" s="5"/>
    </row>
    <row r="7">
      <c r="A7" s="29" t="s">
        <v>12</v>
      </c>
      <c r="D7" s="5"/>
      <c r="E7" s="31"/>
      <c r="F7" s="33"/>
      <c r="G7" s="5"/>
    </row>
    <row r="8">
      <c r="A8" s="29" t="s">
        <v>13</v>
      </c>
      <c r="B8" s="8"/>
      <c r="C8" s="8"/>
      <c r="D8" s="5"/>
      <c r="E8" s="36" t="s">
        <v>14</v>
      </c>
      <c r="F8" s="37">
        <f>F6</f>
        <v>7686</v>
      </c>
      <c r="G8" s="5"/>
    </row>
    <row r="9">
      <c r="A9" s="16"/>
      <c r="B9" s="8"/>
      <c r="C9" s="8"/>
      <c r="D9" s="5"/>
      <c r="E9" s="39"/>
      <c r="F9" s="10"/>
      <c r="G9" s="5"/>
    </row>
    <row r="10">
      <c r="A10" s="6"/>
      <c r="B10" s="8"/>
      <c r="C10" s="8"/>
      <c r="D10" s="5"/>
      <c r="E10" s="5"/>
      <c r="F10" s="10"/>
      <c r="G10" s="5"/>
    </row>
    <row r="11">
      <c r="A11" s="42" t="s">
        <v>19</v>
      </c>
      <c r="D11" s="45"/>
      <c r="E11" s="47" t="s">
        <v>24</v>
      </c>
      <c r="F11" s="48"/>
      <c r="G11" s="45"/>
    </row>
    <row r="12">
      <c r="A12" s="49" t="s">
        <v>25</v>
      </c>
      <c r="B12" s="50" t="s">
        <v>26</v>
      </c>
      <c r="C12" s="50" t="s">
        <v>27</v>
      </c>
      <c r="D12" s="51"/>
      <c r="E12" s="52" t="s">
        <v>28</v>
      </c>
      <c r="F12" s="53"/>
      <c r="G12" s="51"/>
    </row>
    <row r="13">
      <c r="A13" s="55" t="s">
        <v>29</v>
      </c>
      <c r="B13" s="56" t="s">
        <v>30</v>
      </c>
      <c r="C13" s="58">
        <v>384.3</v>
      </c>
      <c r="D13" s="60"/>
      <c r="E13" s="61"/>
      <c r="F13" s="62"/>
      <c r="G13" s="60"/>
    </row>
    <row r="14">
      <c r="A14" s="55" t="s">
        <v>31</v>
      </c>
      <c r="B14" s="56" t="s">
        <v>32</v>
      </c>
      <c r="C14" s="58">
        <v>384.3</v>
      </c>
      <c r="D14" s="60"/>
      <c r="E14" s="61"/>
      <c r="F14" s="62"/>
      <c r="G14" s="60"/>
    </row>
    <row r="15">
      <c r="A15" s="63" t="s">
        <v>33</v>
      </c>
      <c r="B15" s="64" t="s">
        <v>34</v>
      </c>
      <c r="C15" s="58">
        <v>384.3</v>
      </c>
      <c r="D15" s="60"/>
      <c r="E15" s="61"/>
      <c r="F15" s="62"/>
      <c r="G15" s="60"/>
    </row>
    <row r="16">
      <c r="A16" s="63" t="s">
        <v>35</v>
      </c>
      <c r="B16" s="64" t="s">
        <v>36</v>
      </c>
      <c r="C16" s="58">
        <v>384.3</v>
      </c>
      <c r="D16" s="60"/>
      <c r="E16" s="61"/>
      <c r="F16" s="62"/>
      <c r="G16" s="60"/>
    </row>
    <row r="17">
      <c r="A17" s="63" t="s">
        <v>37</v>
      </c>
      <c r="B17" s="64" t="s">
        <v>38</v>
      </c>
      <c r="C17" s="58">
        <v>0.0</v>
      </c>
      <c r="D17" s="60"/>
      <c r="E17" s="61"/>
      <c r="F17" s="62"/>
      <c r="G17" s="60"/>
    </row>
    <row r="18">
      <c r="A18" s="55" t="s">
        <v>39</v>
      </c>
      <c r="B18" s="56" t="s">
        <v>40</v>
      </c>
      <c r="C18" s="58">
        <v>384.3</v>
      </c>
      <c r="D18" s="60"/>
      <c r="E18" s="61"/>
      <c r="F18" s="62"/>
      <c r="G18" s="60"/>
    </row>
    <row r="19">
      <c r="A19" s="55" t="s">
        <v>41</v>
      </c>
      <c r="B19" s="56" t="s">
        <v>42</v>
      </c>
      <c r="C19" s="58">
        <v>384.3</v>
      </c>
      <c r="D19" s="60"/>
      <c r="E19" s="61"/>
      <c r="F19" s="62"/>
      <c r="G19" s="60"/>
    </row>
    <row r="20">
      <c r="A20" s="63" t="s">
        <v>43</v>
      </c>
      <c r="B20" s="64" t="s">
        <v>44</v>
      </c>
      <c r="C20" s="58">
        <v>384.3</v>
      </c>
      <c r="D20" s="60"/>
      <c r="E20" s="61"/>
      <c r="F20" s="62"/>
      <c r="G20" s="60"/>
    </row>
    <row r="21">
      <c r="A21" s="55" t="s">
        <v>45</v>
      </c>
      <c r="B21" s="56" t="s">
        <v>46</v>
      </c>
      <c r="C21" s="58">
        <v>0.0</v>
      </c>
      <c r="D21" s="60"/>
      <c r="E21" s="61"/>
      <c r="F21" s="62"/>
      <c r="G21" s="60"/>
    </row>
    <row r="22">
      <c r="A22" s="55" t="s">
        <v>47</v>
      </c>
      <c r="B22" s="56" t="s">
        <v>48</v>
      </c>
      <c r="C22" s="58">
        <v>384.3</v>
      </c>
      <c r="D22" s="60"/>
      <c r="E22" s="61"/>
      <c r="F22" s="62"/>
      <c r="G22" s="60"/>
    </row>
    <row r="23">
      <c r="A23" s="55" t="s">
        <v>49</v>
      </c>
      <c r="B23" s="56" t="s">
        <v>50</v>
      </c>
      <c r="C23" s="58">
        <v>0.0</v>
      </c>
      <c r="D23" s="66"/>
      <c r="E23" s="68"/>
      <c r="F23" s="69"/>
      <c r="G23" s="66"/>
    </row>
    <row r="24">
      <c r="A24" s="63" t="s">
        <v>51</v>
      </c>
      <c r="B24" s="64" t="s">
        <v>52</v>
      </c>
      <c r="C24" s="58">
        <v>384.3</v>
      </c>
      <c r="D24" s="60"/>
      <c r="E24" s="61"/>
      <c r="F24" s="62"/>
      <c r="G24" s="60"/>
    </row>
    <row r="25">
      <c r="A25" s="55" t="s">
        <v>53</v>
      </c>
      <c r="B25" s="56" t="s">
        <v>54</v>
      </c>
      <c r="C25" s="58">
        <v>384.3</v>
      </c>
      <c r="D25" s="60"/>
      <c r="E25" s="61"/>
      <c r="F25" s="62"/>
      <c r="G25" s="60"/>
    </row>
    <row r="26">
      <c r="A26" s="55" t="s">
        <v>55</v>
      </c>
      <c r="B26" s="56" t="s">
        <v>56</v>
      </c>
      <c r="C26" s="58">
        <v>384.3</v>
      </c>
      <c r="D26" s="60"/>
      <c r="E26" s="61"/>
      <c r="F26" s="62"/>
      <c r="G26" s="60"/>
    </row>
    <row r="27">
      <c r="A27" s="55" t="s">
        <v>57</v>
      </c>
      <c r="B27" s="56" t="s">
        <v>58</v>
      </c>
      <c r="C27" s="58">
        <v>384.3</v>
      </c>
      <c r="D27" s="60"/>
      <c r="E27" s="61"/>
      <c r="F27" s="62"/>
      <c r="G27" s="60"/>
    </row>
    <row r="28">
      <c r="A28" s="63" t="s">
        <v>59</v>
      </c>
      <c r="B28" s="64" t="s">
        <v>60</v>
      </c>
      <c r="C28" s="58">
        <v>384.3</v>
      </c>
      <c r="D28" s="60"/>
      <c r="E28" s="61"/>
      <c r="F28" s="62"/>
      <c r="G28" s="60"/>
    </row>
    <row r="29">
      <c r="A29" s="63" t="s">
        <v>61</v>
      </c>
      <c r="B29" s="64" t="s">
        <v>62</v>
      </c>
      <c r="C29" s="58">
        <v>384.3</v>
      </c>
      <c r="D29" s="60"/>
      <c r="E29" s="61"/>
      <c r="F29" s="62"/>
      <c r="G29" s="60"/>
    </row>
    <row r="30">
      <c r="A30" s="63" t="s">
        <v>63</v>
      </c>
      <c r="B30" s="64" t="s">
        <v>64</v>
      </c>
      <c r="C30" s="58">
        <v>384.3</v>
      </c>
      <c r="D30" s="60"/>
      <c r="E30" s="61"/>
      <c r="F30" s="62"/>
      <c r="G30" s="60"/>
    </row>
    <row r="31">
      <c r="A31" s="55" t="s">
        <v>65</v>
      </c>
      <c r="B31" s="56" t="s">
        <v>66</v>
      </c>
      <c r="C31" s="58">
        <v>384.3</v>
      </c>
      <c r="D31" s="60"/>
      <c r="E31" s="61"/>
      <c r="F31" s="62"/>
      <c r="G31" s="60"/>
    </row>
    <row r="32">
      <c r="A32" s="55" t="s">
        <v>67</v>
      </c>
      <c r="B32" s="56" t="s">
        <v>68</v>
      </c>
      <c r="C32" s="58">
        <v>0.0</v>
      </c>
      <c r="D32" s="60"/>
      <c r="E32" s="61"/>
      <c r="F32" s="62"/>
      <c r="G32" s="60"/>
    </row>
    <row r="33">
      <c r="A33" s="55" t="s">
        <v>69</v>
      </c>
      <c r="B33" s="56" t="s">
        <v>70</v>
      </c>
      <c r="C33" s="58">
        <v>384.3</v>
      </c>
      <c r="D33" s="60"/>
      <c r="E33" s="61"/>
      <c r="F33" s="62"/>
      <c r="G33" s="60"/>
    </row>
    <row r="34">
      <c r="A34" s="55" t="s">
        <v>71</v>
      </c>
      <c r="B34" s="56" t="s">
        <v>72</v>
      </c>
      <c r="C34" s="58">
        <v>0.0</v>
      </c>
      <c r="D34" s="60"/>
      <c r="E34" s="61"/>
      <c r="F34" s="62"/>
      <c r="G34" s="60"/>
    </row>
    <row r="35">
      <c r="A35" s="55" t="s">
        <v>73</v>
      </c>
      <c r="B35" s="56" t="s">
        <v>74</v>
      </c>
      <c r="C35" s="58">
        <v>384.3</v>
      </c>
      <c r="D35" s="60"/>
      <c r="E35" s="61"/>
      <c r="F35" s="62"/>
      <c r="G35" s="60"/>
    </row>
    <row r="36">
      <c r="A36" s="55" t="s">
        <v>75</v>
      </c>
      <c r="B36" s="56" t="s">
        <v>76</v>
      </c>
      <c r="C36" s="58">
        <v>384.3</v>
      </c>
      <c r="D36" s="60"/>
      <c r="E36" s="61"/>
      <c r="F36" s="62"/>
      <c r="G36" s="60"/>
    </row>
    <row r="37">
      <c r="A37" s="55" t="s">
        <v>77</v>
      </c>
      <c r="B37" s="56" t="s">
        <v>78</v>
      </c>
      <c r="C37" s="58">
        <v>384.3</v>
      </c>
      <c r="D37" s="60"/>
      <c r="E37" s="61"/>
      <c r="F37" s="62"/>
      <c r="G37" s="60"/>
    </row>
  </sheetData>
  <mergeCells count="4">
    <mergeCell ref="E4:F4"/>
    <mergeCell ref="A7:C7"/>
    <mergeCell ref="A11:C11"/>
    <mergeCell ref="E11:F1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38"/>
  </cols>
  <sheetData>
    <row r="2">
      <c r="A2" s="1"/>
      <c r="B2" s="2"/>
      <c r="C2" s="2"/>
      <c r="D2" s="3"/>
      <c r="E2" s="3"/>
      <c r="F2" s="4"/>
      <c r="G2" s="5"/>
    </row>
    <row r="3">
      <c r="A3" s="6"/>
      <c r="B3" s="8"/>
      <c r="C3" s="8"/>
      <c r="D3" s="5"/>
      <c r="E3" s="5"/>
      <c r="F3" s="10"/>
      <c r="G3" s="5"/>
    </row>
    <row r="4">
      <c r="A4" s="12" t="s">
        <v>1</v>
      </c>
      <c r="B4" s="8"/>
      <c r="C4" s="8"/>
      <c r="D4" s="5"/>
      <c r="E4" s="14" t="s">
        <v>4</v>
      </c>
      <c r="F4" s="15"/>
      <c r="G4" s="5"/>
    </row>
    <row r="5">
      <c r="A5" s="6"/>
      <c r="B5" s="8"/>
      <c r="C5" s="8"/>
      <c r="D5" s="5"/>
      <c r="E5" s="5"/>
      <c r="F5" s="10"/>
      <c r="G5" s="5"/>
    </row>
    <row r="6">
      <c r="A6" s="16"/>
      <c r="B6" s="8"/>
      <c r="C6" s="8"/>
      <c r="D6" s="5"/>
      <c r="E6" s="18" t="s">
        <v>6</v>
      </c>
      <c r="F6" s="26">
        <f>SUM(C13:C37)</f>
        <v>7686</v>
      </c>
      <c r="G6" s="5"/>
    </row>
    <row r="7">
      <c r="A7" s="29" t="s">
        <v>12</v>
      </c>
      <c r="D7" s="5"/>
      <c r="E7" s="31"/>
      <c r="F7" s="33"/>
      <c r="G7" s="5"/>
    </row>
    <row r="8">
      <c r="A8" s="29" t="s">
        <v>13</v>
      </c>
      <c r="B8" s="8"/>
      <c r="C8" s="8"/>
      <c r="D8" s="5"/>
      <c r="E8" s="36" t="s">
        <v>14</v>
      </c>
      <c r="F8" s="37">
        <f>F6</f>
        <v>7686</v>
      </c>
      <c r="G8" s="5"/>
    </row>
    <row r="9">
      <c r="A9" s="16"/>
      <c r="B9" s="8"/>
      <c r="C9" s="8"/>
      <c r="D9" s="5"/>
      <c r="E9" s="39"/>
      <c r="F9" s="10"/>
      <c r="G9" s="5"/>
    </row>
    <row r="10">
      <c r="A10" s="6"/>
      <c r="B10" s="8"/>
      <c r="C10" s="8"/>
      <c r="D10" s="5"/>
      <c r="E10" s="5"/>
      <c r="F10" s="10"/>
      <c r="G10" s="5"/>
    </row>
    <row r="11">
      <c r="A11" s="42" t="s">
        <v>19</v>
      </c>
      <c r="D11" s="45"/>
      <c r="E11" s="47" t="s">
        <v>24</v>
      </c>
      <c r="F11" s="48"/>
      <c r="G11" s="45"/>
    </row>
    <row r="12">
      <c r="A12" s="49" t="s">
        <v>25</v>
      </c>
      <c r="B12" s="50" t="s">
        <v>26</v>
      </c>
      <c r="C12" s="50" t="s">
        <v>27</v>
      </c>
      <c r="D12" s="51"/>
      <c r="E12" s="52" t="s">
        <v>28</v>
      </c>
      <c r="F12" s="53"/>
      <c r="G12" s="51"/>
    </row>
    <row r="13">
      <c r="A13" s="55" t="s">
        <v>29</v>
      </c>
      <c r="B13" s="56" t="s">
        <v>30</v>
      </c>
      <c r="C13" s="58">
        <v>384.3</v>
      </c>
      <c r="D13" s="60"/>
      <c r="E13" s="61"/>
      <c r="F13" s="62"/>
      <c r="G13" s="60"/>
    </row>
    <row r="14">
      <c r="A14" s="55" t="s">
        <v>31</v>
      </c>
      <c r="B14" s="56" t="s">
        <v>32</v>
      </c>
      <c r="C14" s="58">
        <v>384.3</v>
      </c>
      <c r="D14" s="60"/>
      <c r="E14" s="61"/>
      <c r="F14" s="62"/>
      <c r="G14" s="60"/>
    </row>
    <row r="15">
      <c r="A15" s="63" t="s">
        <v>33</v>
      </c>
      <c r="B15" s="64" t="s">
        <v>34</v>
      </c>
      <c r="C15" s="58">
        <v>384.3</v>
      </c>
      <c r="D15" s="60"/>
      <c r="E15" s="61"/>
      <c r="F15" s="62"/>
      <c r="G15" s="60"/>
    </row>
    <row r="16">
      <c r="A16" s="63" t="s">
        <v>35</v>
      </c>
      <c r="B16" s="64" t="s">
        <v>36</v>
      </c>
      <c r="C16" s="58">
        <v>384.3</v>
      </c>
      <c r="D16" s="60"/>
      <c r="E16" s="61"/>
      <c r="F16" s="62"/>
      <c r="G16" s="60"/>
    </row>
    <row r="17">
      <c r="A17" s="63" t="s">
        <v>37</v>
      </c>
      <c r="B17" s="64" t="s">
        <v>38</v>
      </c>
      <c r="C17" s="58">
        <v>0.0</v>
      </c>
      <c r="D17" s="60"/>
      <c r="E17" s="61"/>
      <c r="F17" s="62"/>
      <c r="G17" s="60"/>
    </row>
    <row r="18">
      <c r="A18" s="55" t="s">
        <v>39</v>
      </c>
      <c r="B18" s="56" t="s">
        <v>40</v>
      </c>
      <c r="C18" s="58">
        <v>384.3</v>
      </c>
      <c r="D18" s="60"/>
      <c r="E18" s="61"/>
      <c r="F18" s="62"/>
      <c r="G18" s="60"/>
    </row>
    <row r="19">
      <c r="A19" s="55" t="s">
        <v>41</v>
      </c>
      <c r="B19" s="56" t="s">
        <v>42</v>
      </c>
      <c r="C19" s="58">
        <v>384.3</v>
      </c>
      <c r="D19" s="60"/>
      <c r="E19" s="61"/>
      <c r="F19" s="62"/>
      <c r="G19" s="60"/>
    </row>
    <row r="20">
      <c r="A20" s="63" t="s">
        <v>43</v>
      </c>
      <c r="B20" s="64" t="s">
        <v>44</v>
      </c>
      <c r="C20" s="58">
        <v>384.3</v>
      </c>
      <c r="D20" s="60"/>
      <c r="E20" s="61"/>
      <c r="F20" s="62"/>
      <c r="G20" s="60"/>
    </row>
    <row r="21">
      <c r="A21" s="55" t="s">
        <v>45</v>
      </c>
      <c r="B21" s="56" t="s">
        <v>46</v>
      </c>
      <c r="C21" s="58">
        <v>0.0</v>
      </c>
      <c r="D21" s="60"/>
      <c r="E21" s="61"/>
      <c r="F21" s="62"/>
      <c r="G21" s="60"/>
    </row>
    <row r="22">
      <c r="A22" s="55" t="s">
        <v>47</v>
      </c>
      <c r="B22" s="56" t="s">
        <v>48</v>
      </c>
      <c r="C22" s="58">
        <v>384.3</v>
      </c>
      <c r="D22" s="60"/>
      <c r="E22" s="61"/>
      <c r="F22" s="62"/>
      <c r="G22" s="60"/>
    </row>
    <row r="23">
      <c r="A23" s="55" t="s">
        <v>49</v>
      </c>
      <c r="B23" s="56" t="s">
        <v>50</v>
      </c>
      <c r="C23" s="58">
        <v>0.0</v>
      </c>
      <c r="D23" s="66"/>
      <c r="E23" s="68"/>
      <c r="F23" s="69"/>
      <c r="G23" s="66"/>
    </row>
    <row r="24">
      <c r="A24" s="63" t="s">
        <v>51</v>
      </c>
      <c r="B24" s="64" t="s">
        <v>52</v>
      </c>
      <c r="C24" s="58">
        <v>384.3</v>
      </c>
      <c r="D24" s="60"/>
      <c r="E24" s="61"/>
      <c r="F24" s="62"/>
      <c r="G24" s="60"/>
    </row>
    <row r="25">
      <c r="A25" s="55" t="s">
        <v>53</v>
      </c>
      <c r="B25" s="56" t="s">
        <v>54</v>
      </c>
      <c r="C25" s="58">
        <v>384.3</v>
      </c>
      <c r="D25" s="60"/>
      <c r="E25" s="61"/>
      <c r="F25" s="62"/>
      <c r="G25" s="60"/>
    </row>
    <row r="26">
      <c r="A26" s="55" t="s">
        <v>55</v>
      </c>
      <c r="B26" s="56" t="s">
        <v>56</v>
      </c>
      <c r="C26" s="58">
        <v>384.3</v>
      </c>
      <c r="D26" s="60"/>
      <c r="E26" s="61"/>
      <c r="F26" s="62"/>
      <c r="G26" s="60"/>
    </row>
    <row r="27">
      <c r="A27" s="55" t="s">
        <v>57</v>
      </c>
      <c r="B27" s="56" t="s">
        <v>58</v>
      </c>
      <c r="C27" s="58">
        <v>384.3</v>
      </c>
      <c r="D27" s="60"/>
      <c r="E27" s="61"/>
      <c r="F27" s="62"/>
      <c r="G27" s="60"/>
    </row>
    <row r="28">
      <c r="A28" s="63" t="s">
        <v>59</v>
      </c>
      <c r="B28" s="64" t="s">
        <v>60</v>
      </c>
      <c r="C28" s="58">
        <v>384.3</v>
      </c>
      <c r="D28" s="60"/>
      <c r="E28" s="61"/>
      <c r="F28" s="62"/>
      <c r="G28" s="60"/>
    </row>
    <row r="29">
      <c r="A29" s="63" t="s">
        <v>61</v>
      </c>
      <c r="B29" s="64" t="s">
        <v>62</v>
      </c>
      <c r="C29" s="58">
        <v>384.3</v>
      </c>
      <c r="D29" s="60"/>
      <c r="E29" s="61"/>
      <c r="F29" s="62"/>
      <c r="G29" s="60"/>
    </row>
    <row r="30">
      <c r="A30" s="63" t="s">
        <v>63</v>
      </c>
      <c r="B30" s="64" t="s">
        <v>64</v>
      </c>
      <c r="C30" s="58">
        <v>384.3</v>
      </c>
      <c r="D30" s="60"/>
      <c r="E30" s="61"/>
      <c r="F30" s="62"/>
      <c r="G30" s="60"/>
    </row>
    <row r="31">
      <c r="A31" s="55" t="s">
        <v>65</v>
      </c>
      <c r="B31" s="56" t="s">
        <v>66</v>
      </c>
      <c r="C31" s="58">
        <v>384.3</v>
      </c>
      <c r="D31" s="60"/>
      <c r="E31" s="61"/>
      <c r="F31" s="62"/>
      <c r="G31" s="60"/>
    </row>
    <row r="32">
      <c r="A32" s="55" t="s">
        <v>67</v>
      </c>
      <c r="B32" s="56" t="s">
        <v>68</v>
      </c>
      <c r="C32" s="58">
        <v>0.0</v>
      </c>
      <c r="D32" s="60"/>
      <c r="E32" s="61"/>
      <c r="F32" s="62"/>
      <c r="G32" s="60"/>
    </row>
    <row r="33">
      <c r="A33" s="55" t="s">
        <v>69</v>
      </c>
      <c r="B33" s="56" t="s">
        <v>70</v>
      </c>
      <c r="C33" s="58">
        <v>384.3</v>
      </c>
      <c r="D33" s="60"/>
      <c r="E33" s="61"/>
      <c r="F33" s="62"/>
      <c r="G33" s="60"/>
    </row>
    <row r="34">
      <c r="A34" s="55" t="s">
        <v>71</v>
      </c>
      <c r="B34" s="56" t="s">
        <v>72</v>
      </c>
      <c r="C34" s="58">
        <v>0.0</v>
      </c>
      <c r="D34" s="60"/>
      <c r="E34" s="61"/>
      <c r="F34" s="62"/>
      <c r="G34" s="60"/>
    </row>
    <row r="35">
      <c r="A35" s="55" t="s">
        <v>73</v>
      </c>
      <c r="B35" s="56" t="s">
        <v>74</v>
      </c>
      <c r="C35" s="58">
        <v>384.3</v>
      </c>
      <c r="D35" s="60"/>
      <c r="E35" s="61"/>
      <c r="F35" s="62"/>
      <c r="G35" s="60"/>
    </row>
    <row r="36">
      <c r="A36" s="55" t="s">
        <v>75</v>
      </c>
      <c r="B36" s="56" t="s">
        <v>76</v>
      </c>
      <c r="C36" s="58">
        <v>384.3</v>
      </c>
      <c r="D36" s="60"/>
      <c r="E36" s="61"/>
      <c r="F36" s="62"/>
      <c r="G36" s="60"/>
    </row>
    <row r="37">
      <c r="A37" s="55" t="s">
        <v>77</v>
      </c>
      <c r="B37" s="56" t="s">
        <v>78</v>
      </c>
      <c r="C37" s="58">
        <v>384.3</v>
      </c>
      <c r="D37" s="60"/>
      <c r="E37" s="61"/>
      <c r="F37" s="62"/>
      <c r="G37" s="60"/>
    </row>
  </sheetData>
  <mergeCells count="4">
    <mergeCell ref="E4:F4"/>
    <mergeCell ref="A7:C7"/>
    <mergeCell ref="A11:C11"/>
    <mergeCell ref="E11:F1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5.38"/>
    <col customWidth="1" min="2" max="2" width="16.38"/>
    <col customWidth="1" min="5" max="5" width="3.5"/>
    <col customWidth="1" min="10" max="10" width="32.63"/>
  </cols>
  <sheetData>
    <row r="1">
      <c r="A1" s="7" t="s">
        <v>0</v>
      </c>
    </row>
    <row r="2">
      <c r="A2" s="9"/>
      <c r="B2" s="9"/>
      <c r="C2" s="9"/>
      <c r="D2" s="11"/>
      <c r="E2" s="9"/>
      <c r="F2" s="9"/>
      <c r="G2" s="9"/>
      <c r="H2" s="9"/>
      <c r="I2" s="9"/>
      <c r="J2" s="9"/>
    </row>
    <row r="3">
      <c r="A3" s="17" t="s">
        <v>5</v>
      </c>
    </row>
    <row r="5">
      <c r="A5" s="17"/>
      <c r="B5" s="17"/>
      <c r="C5" s="17"/>
      <c r="D5" s="17"/>
      <c r="E5" s="17"/>
      <c r="F5" s="17"/>
      <c r="G5" s="17"/>
      <c r="H5" s="17"/>
      <c r="I5" s="17"/>
      <c r="J5" s="17"/>
    </row>
    <row r="6">
      <c r="A6" s="20" t="s">
        <v>7</v>
      </c>
      <c r="B6" s="21"/>
      <c r="C6" s="21"/>
      <c r="D6" s="22" t="s">
        <v>8</v>
      </c>
      <c r="E6" s="21"/>
      <c r="F6" s="23"/>
      <c r="G6" s="24" t="s">
        <v>9</v>
      </c>
      <c r="H6" s="24"/>
      <c r="I6" s="25" t="s">
        <v>10</v>
      </c>
    </row>
    <row r="7">
      <c r="A7" s="21"/>
      <c r="B7" s="21"/>
      <c r="C7" s="21"/>
      <c r="D7" s="23"/>
      <c r="E7" s="21"/>
      <c r="F7" s="23"/>
      <c r="G7" s="21"/>
      <c r="H7" s="21"/>
      <c r="I7" s="21"/>
      <c r="J7" s="21"/>
    </row>
    <row r="8">
      <c r="A8" s="27" t="s">
        <v>11</v>
      </c>
      <c r="B8" s="21"/>
      <c r="C8" s="21"/>
      <c r="D8" s="28">
        <v>1.0</v>
      </c>
      <c r="E8" s="20"/>
      <c r="F8" s="23"/>
      <c r="G8" s="30">
        <v>37.0</v>
      </c>
      <c r="H8" s="24"/>
      <c r="I8" s="21"/>
      <c r="J8" s="32">
        <v>37.0</v>
      </c>
    </row>
    <row r="9">
      <c r="A9" s="21"/>
      <c r="B9" s="21"/>
      <c r="C9" s="21"/>
      <c r="D9" s="35"/>
      <c r="E9" s="21"/>
      <c r="F9" s="21"/>
      <c r="G9" s="21"/>
      <c r="H9" s="21"/>
      <c r="I9" s="21"/>
      <c r="J9" s="21"/>
    </row>
    <row r="10">
      <c r="A10" s="21"/>
      <c r="B10" s="21"/>
      <c r="C10" s="21"/>
      <c r="D10" s="35"/>
      <c r="E10" s="21"/>
      <c r="F10" s="21"/>
      <c r="G10" s="21"/>
      <c r="H10" s="21"/>
      <c r="I10" s="21"/>
      <c r="J10" s="21"/>
    </row>
    <row r="11">
      <c r="A11" s="20" t="s">
        <v>15</v>
      </c>
      <c r="B11" s="38">
        <v>45231.0</v>
      </c>
      <c r="C11" s="21"/>
      <c r="D11" s="35"/>
      <c r="E11" s="21"/>
      <c r="F11" s="27" t="s">
        <v>16</v>
      </c>
    </row>
    <row r="12">
      <c r="A12" s="21"/>
      <c r="B12" s="21"/>
      <c r="C12" s="21"/>
      <c r="D12" s="35"/>
      <c r="E12" s="21"/>
      <c r="F12" s="27" t="s">
        <v>17</v>
      </c>
    </row>
    <row r="13">
      <c r="A13" s="21"/>
      <c r="B13" s="21"/>
      <c r="C13" s="21"/>
      <c r="D13" s="35"/>
      <c r="E13" s="21"/>
      <c r="F13" s="27" t="s">
        <v>18</v>
      </c>
      <c r="H13" s="27"/>
    </row>
    <row r="14">
      <c r="A14" s="21"/>
      <c r="B14" s="21"/>
      <c r="C14" s="21"/>
      <c r="D14" s="35"/>
      <c r="E14" s="21"/>
      <c r="F14" s="44" t="s">
        <v>20</v>
      </c>
    </row>
    <row r="15">
      <c r="A15" s="21"/>
      <c r="B15" s="21"/>
      <c r="C15" s="21"/>
      <c r="D15" s="35"/>
      <c r="E15" s="21"/>
      <c r="F15" s="27" t="s">
        <v>23</v>
      </c>
    </row>
    <row r="16">
      <c r="A16" s="46"/>
    </row>
  </sheetData>
  <mergeCells count="10">
    <mergeCell ref="F14:J14"/>
    <mergeCell ref="F15:J15"/>
    <mergeCell ref="A16:J17"/>
    <mergeCell ref="A1:J1"/>
    <mergeCell ref="A3:J4"/>
    <mergeCell ref="I6:J6"/>
    <mergeCell ref="F11:J11"/>
    <mergeCell ref="F12:J12"/>
    <mergeCell ref="F13:G13"/>
    <mergeCell ref="H13:J13"/>
  </mergeCells>
  <printOptions gridLines="1" horizontalCentered="1"/>
  <pageMargins bottom="0.75" footer="0.0" header="0.0" left="0.7" right="0.7" top="0.75"/>
  <pageSetup paperSize="9" cellComments="atEnd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75"/>
    <col customWidth="1" min="2" max="2" width="13.88"/>
    <col customWidth="1" min="4" max="4" width="7.0"/>
    <col customWidth="1" min="5" max="5" width="12.63"/>
    <col customWidth="1" min="6" max="6" width="7.88"/>
  </cols>
  <sheetData>
    <row r="1">
      <c r="A1" s="13" t="s">
        <v>2</v>
      </c>
      <c r="E1" s="14" t="s">
        <v>3</v>
      </c>
      <c r="F1" s="15"/>
      <c r="G1" s="5"/>
    </row>
    <row r="2">
      <c r="A2" s="19"/>
      <c r="E2" s="5"/>
      <c r="F2" s="10"/>
      <c r="G2" s="5"/>
    </row>
    <row r="3">
      <c r="A3" s="19"/>
      <c r="E3" s="18" t="s">
        <v>6</v>
      </c>
      <c r="F3" s="26">
        <f>SUM(C10:C32)</f>
        <v>7869</v>
      </c>
      <c r="G3" s="5"/>
    </row>
    <row r="4">
      <c r="A4" s="19"/>
      <c r="E4" s="31"/>
      <c r="F4" s="34"/>
      <c r="G4" s="5"/>
    </row>
    <row r="5">
      <c r="A5" s="19"/>
      <c r="E5" s="36" t="s">
        <v>14</v>
      </c>
      <c r="F5" s="37">
        <f>F3</f>
        <v>7869</v>
      </c>
      <c r="G5" s="5"/>
    </row>
    <row r="6">
      <c r="A6" s="19"/>
      <c r="E6" s="39"/>
      <c r="F6" s="10"/>
      <c r="G6" s="5"/>
    </row>
    <row r="7">
      <c r="A7" s="40">
        <v>18.3</v>
      </c>
      <c r="B7" s="41">
        <v>20.0</v>
      </c>
      <c r="C7" s="43" t="s">
        <v>21</v>
      </c>
      <c r="D7" s="5"/>
      <c r="E7" s="5"/>
      <c r="F7" s="10"/>
      <c r="G7" s="5"/>
    </row>
    <row r="8">
      <c r="A8" s="42" t="s">
        <v>22</v>
      </c>
      <c r="D8" s="45"/>
      <c r="E8" s="47" t="s">
        <v>24</v>
      </c>
      <c r="F8" s="48"/>
      <c r="G8" s="45"/>
    </row>
    <row r="9">
      <c r="A9" s="49" t="s">
        <v>25</v>
      </c>
      <c r="B9" s="50" t="s">
        <v>26</v>
      </c>
      <c r="C9" s="50" t="s">
        <v>27</v>
      </c>
      <c r="D9" s="51"/>
      <c r="E9" s="54" t="s">
        <v>28</v>
      </c>
      <c r="F9" s="48"/>
      <c r="G9" s="51"/>
    </row>
    <row r="10">
      <c r="A10" s="57" t="s">
        <v>29</v>
      </c>
      <c r="B10" s="59" t="s">
        <v>30</v>
      </c>
      <c r="C10" s="65">
        <f t="shared" ref="C10:C15" si="1">18.3*$B$7</f>
        <v>366</v>
      </c>
      <c r="D10" s="67"/>
      <c r="E10" s="70"/>
      <c r="F10" s="48"/>
      <c r="G10" s="60"/>
    </row>
    <row r="11">
      <c r="A11" s="55" t="s">
        <v>31</v>
      </c>
      <c r="B11" s="56" t="s">
        <v>32</v>
      </c>
      <c r="C11" s="58">
        <f t="shared" si="1"/>
        <v>366</v>
      </c>
      <c r="D11" s="60"/>
      <c r="E11" s="71"/>
      <c r="F11" s="48"/>
      <c r="G11" s="60"/>
    </row>
    <row r="12">
      <c r="A12" s="57" t="s">
        <v>33</v>
      </c>
      <c r="B12" s="59" t="s">
        <v>34</v>
      </c>
      <c r="C12" s="65">
        <f t="shared" si="1"/>
        <v>366</v>
      </c>
      <c r="D12" s="67"/>
      <c r="E12" s="70"/>
      <c r="F12" s="48"/>
      <c r="G12" s="60"/>
    </row>
    <row r="13">
      <c r="A13" s="63" t="s">
        <v>35</v>
      </c>
      <c r="B13" s="64" t="s">
        <v>36</v>
      </c>
      <c r="C13" s="58">
        <f t="shared" si="1"/>
        <v>366</v>
      </c>
      <c r="D13" s="60"/>
      <c r="E13" s="71"/>
      <c r="F13" s="48"/>
      <c r="G13" s="60"/>
    </row>
    <row r="14">
      <c r="A14" s="57" t="s">
        <v>39</v>
      </c>
      <c r="B14" s="59" t="s">
        <v>40</v>
      </c>
      <c r="C14" s="65">
        <f t="shared" si="1"/>
        <v>366</v>
      </c>
      <c r="D14" s="67"/>
      <c r="E14" s="70"/>
      <c r="F14" s="48"/>
      <c r="G14" s="60"/>
    </row>
    <row r="15">
      <c r="A15" s="55" t="s">
        <v>41</v>
      </c>
      <c r="B15" s="56" t="s">
        <v>42</v>
      </c>
      <c r="C15" s="58">
        <f t="shared" si="1"/>
        <v>366</v>
      </c>
      <c r="D15" s="60"/>
      <c r="E15" s="71"/>
      <c r="F15" s="48"/>
      <c r="G15" s="60"/>
    </row>
    <row r="16">
      <c r="A16" s="57" t="s">
        <v>43</v>
      </c>
      <c r="B16" s="59" t="s">
        <v>44</v>
      </c>
      <c r="C16" s="65">
        <v>0.0</v>
      </c>
      <c r="D16" s="67"/>
      <c r="E16" s="72" t="s">
        <v>79</v>
      </c>
      <c r="F16" s="48"/>
      <c r="G16" s="60"/>
    </row>
    <row r="17">
      <c r="A17" s="55" t="s">
        <v>47</v>
      </c>
      <c r="B17" s="56" t="s">
        <v>48</v>
      </c>
      <c r="C17" s="58">
        <f t="shared" ref="C17:C27" si="2">18.3*$B$7</f>
        <v>366</v>
      </c>
      <c r="D17" s="60"/>
      <c r="E17" s="71"/>
      <c r="F17" s="48"/>
      <c r="G17" s="60"/>
    </row>
    <row r="18">
      <c r="A18" s="57" t="s">
        <v>51</v>
      </c>
      <c r="B18" s="59" t="s">
        <v>52</v>
      </c>
      <c r="C18" s="65">
        <f t="shared" si="2"/>
        <v>366</v>
      </c>
      <c r="D18" s="67"/>
      <c r="E18" s="70"/>
      <c r="F18" s="48"/>
      <c r="G18" s="60"/>
    </row>
    <row r="19">
      <c r="A19" s="63" t="s">
        <v>80</v>
      </c>
      <c r="B19" s="64" t="s">
        <v>81</v>
      </c>
      <c r="C19" s="58">
        <f t="shared" si="2"/>
        <v>366</v>
      </c>
      <c r="D19" s="60"/>
      <c r="E19" s="71"/>
      <c r="F19" s="48"/>
      <c r="G19" s="60"/>
    </row>
    <row r="20">
      <c r="A20" s="57" t="s">
        <v>53</v>
      </c>
      <c r="B20" s="59" t="s">
        <v>54</v>
      </c>
      <c r="C20" s="65">
        <f t="shared" si="2"/>
        <v>366</v>
      </c>
      <c r="D20" s="67"/>
      <c r="E20" s="70"/>
      <c r="F20" s="48"/>
      <c r="G20" s="60"/>
    </row>
    <row r="21">
      <c r="A21" s="55" t="s">
        <v>55</v>
      </c>
      <c r="B21" s="56" t="s">
        <v>56</v>
      </c>
      <c r="C21" s="58">
        <f t="shared" si="2"/>
        <v>366</v>
      </c>
      <c r="D21" s="60"/>
      <c r="E21" s="71"/>
      <c r="F21" s="48"/>
      <c r="G21" s="60"/>
    </row>
    <row r="22">
      <c r="A22" s="57" t="s">
        <v>57</v>
      </c>
      <c r="B22" s="59" t="s">
        <v>58</v>
      </c>
      <c r="C22" s="65">
        <f t="shared" si="2"/>
        <v>366</v>
      </c>
      <c r="D22" s="67"/>
      <c r="E22" s="70"/>
      <c r="F22" s="48"/>
      <c r="G22" s="60"/>
    </row>
    <row r="23">
      <c r="A23" s="63" t="s">
        <v>59</v>
      </c>
      <c r="B23" s="64" t="s">
        <v>60</v>
      </c>
      <c r="C23" s="58">
        <f t="shared" si="2"/>
        <v>366</v>
      </c>
      <c r="D23" s="60"/>
      <c r="E23" s="71"/>
      <c r="F23" s="48"/>
      <c r="G23" s="60"/>
    </row>
    <row r="24">
      <c r="A24" s="57" t="s">
        <v>61</v>
      </c>
      <c r="B24" s="59" t="s">
        <v>62</v>
      </c>
      <c r="C24" s="65">
        <f t="shared" si="2"/>
        <v>366</v>
      </c>
      <c r="D24" s="67"/>
      <c r="E24" s="70"/>
      <c r="F24" s="48"/>
      <c r="G24" s="60"/>
    </row>
    <row r="25">
      <c r="A25" s="63" t="s">
        <v>63</v>
      </c>
      <c r="B25" s="64" t="s">
        <v>64</v>
      </c>
      <c r="C25" s="58">
        <f t="shared" si="2"/>
        <v>366</v>
      </c>
      <c r="D25" s="60"/>
      <c r="E25" s="71"/>
      <c r="F25" s="48"/>
      <c r="G25" s="60"/>
    </row>
    <row r="26">
      <c r="A26" s="57" t="s">
        <v>65</v>
      </c>
      <c r="B26" s="59" t="s">
        <v>66</v>
      </c>
      <c r="C26" s="65">
        <f t="shared" si="2"/>
        <v>366</v>
      </c>
      <c r="D26" s="67"/>
      <c r="E26" s="70"/>
      <c r="F26" s="48"/>
      <c r="G26" s="60"/>
    </row>
    <row r="27">
      <c r="A27" s="55" t="s">
        <v>69</v>
      </c>
      <c r="B27" s="56" t="s">
        <v>70</v>
      </c>
      <c r="C27" s="58">
        <f t="shared" si="2"/>
        <v>366</v>
      </c>
      <c r="D27" s="60"/>
      <c r="E27" s="71"/>
      <c r="F27" s="48"/>
      <c r="G27" s="60"/>
    </row>
    <row r="28">
      <c r="A28" s="57" t="s">
        <v>82</v>
      </c>
      <c r="B28" s="59" t="s">
        <v>83</v>
      </c>
      <c r="C28" s="65">
        <f>A7*15</f>
        <v>274.5</v>
      </c>
      <c r="D28" s="67"/>
      <c r="E28" s="72" t="s">
        <v>84</v>
      </c>
      <c r="F28" s="48"/>
      <c r="G28" s="60"/>
    </row>
    <row r="29">
      <c r="A29" s="55" t="s">
        <v>73</v>
      </c>
      <c r="B29" s="56" t="s">
        <v>74</v>
      </c>
      <c r="C29" s="58">
        <f>18.3*$B$7</f>
        <v>366</v>
      </c>
      <c r="D29" s="60"/>
      <c r="E29" s="71"/>
      <c r="F29" s="48"/>
      <c r="G29" s="60"/>
    </row>
    <row r="30">
      <c r="A30" s="57" t="s">
        <v>85</v>
      </c>
      <c r="B30" s="59" t="s">
        <v>86</v>
      </c>
      <c r="C30" s="65">
        <f>18.3*15</f>
        <v>274.5</v>
      </c>
      <c r="D30" s="67"/>
      <c r="E30" s="72" t="s">
        <v>84</v>
      </c>
      <c r="F30" s="48"/>
      <c r="G30" s="60"/>
    </row>
    <row r="31">
      <c r="A31" s="55" t="s">
        <v>75</v>
      </c>
      <c r="B31" s="56" t="s">
        <v>76</v>
      </c>
      <c r="C31" s="58">
        <f t="shared" ref="C31:C32" si="3">18.3*$B$7</f>
        <v>366</v>
      </c>
      <c r="D31" s="60"/>
      <c r="E31" s="71"/>
      <c r="F31" s="48"/>
      <c r="G31" s="60"/>
    </row>
    <row r="32">
      <c r="A32" s="57" t="s">
        <v>77</v>
      </c>
      <c r="B32" s="59" t="s">
        <v>78</v>
      </c>
      <c r="C32" s="65">
        <f t="shared" si="3"/>
        <v>366</v>
      </c>
      <c r="D32" s="67"/>
      <c r="E32" s="70"/>
      <c r="F32" s="48"/>
      <c r="G32" s="60"/>
    </row>
    <row r="33">
      <c r="A33" s="73"/>
      <c r="B33" s="74"/>
      <c r="C33" s="58"/>
      <c r="D33" s="75"/>
      <c r="E33" s="71"/>
      <c r="F33" s="48"/>
      <c r="G33" s="60"/>
    </row>
    <row r="34">
      <c r="A34" s="76"/>
      <c r="B34" s="77"/>
      <c r="C34" s="58"/>
      <c r="D34" s="60"/>
      <c r="E34" s="71"/>
      <c r="F34" s="48"/>
      <c r="G34" s="60"/>
    </row>
    <row r="35">
      <c r="A35" s="76"/>
      <c r="B35" s="77"/>
      <c r="C35" s="58"/>
      <c r="D35" s="60"/>
      <c r="E35" s="71"/>
      <c r="F35" s="48"/>
      <c r="G35" s="60"/>
    </row>
    <row r="36">
      <c r="A36" s="5"/>
      <c r="B36" s="8"/>
      <c r="C36" s="8"/>
      <c r="D36" s="5"/>
      <c r="E36" s="5"/>
      <c r="F36" s="5"/>
      <c r="G36" s="5"/>
    </row>
    <row r="37">
      <c r="A37" s="5"/>
      <c r="B37" s="8"/>
      <c r="C37" s="8"/>
      <c r="D37" s="5"/>
      <c r="E37" s="5"/>
      <c r="F37" s="5"/>
      <c r="G37" s="5"/>
    </row>
    <row r="38">
      <c r="A38" s="5"/>
      <c r="B38" s="8"/>
      <c r="C38" s="8"/>
      <c r="D38" s="5"/>
      <c r="E38" s="5"/>
      <c r="F38" s="5"/>
      <c r="G38" s="5"/>
    </row>
    <row r="39">
      <c r="A39" s="5"/>
      <c r="B39" s="8"/>
      <c r="C39" s="8"/>
      <c r="D39" s="5"/>
      <c r="E39" s="5"/>
      <c r="F39" s="5"/>
      <c r="G39" s="5"/>
    </row>
    <row r="40">
      <c r="A40" s="5"/>
      <c r="B40" s="8"/>
      <c r="C40" s="8"/>
      <c r="D40" s="5"/>
      <c r="E40" s="5"/>
      <c r="F40" s="5"/>
      <c r="G40" s="5"/>
    </row>
    <row r="41">
      <c r="A41" s="5"/>
      <c r="B41" s="8"/>
      <c r="C41" s="8"/>
      <c r="D41" s="5"/>
      <c r="E41" s="5"/>
      <c r="F41" s="5"/>
      <c r="G41" s="5"/>
    </row>
    <row r="42">
      <c r="A42" s="5"/>
      <c r="B42" s="8"/>
      <c r="C42" s="8"/>
      <c r="D42" s="5"/>
      <c r="E42" s="5"/>
      <c r="F42" s="5"/>
      <c r="G42" s="5"/>
    </row>
    <row r="43">
      <c r="A43" s="5"/>
      <c r="B43" s="8"/>
      <c r="C43" s="8"/>
      <c r="D43" s="5"/>
      <c r="E43" s="5"/>
      <c r="F43" s="5"/>
      <c r="G43" s="5"/>
    </row>
    <row r="44">
      <c r="A44" s="5"/>
      <c r="B44" s="8"/>
      <c r="C44" s="8"/>
      <c r="D44" s="5"/>
      <c r="E44" s="5"/>
      <c r="F44" s="5"/>
      <c r="G44" s="5"/>
    </row>
  </sheetData>
  <mergeCells count="31">
    <mergeCell ref="A1:D6"/>
    <mergeCell ref="E1:F1"/>
    <mergeCell ref="A8:C8"/>
    <mergeCell ref="E8:F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33:F33"/>
    <mergeCell ref="E34:F34"/>
    <mergeCell ref="E35:F35"/>
    <mergeCell ref="E26:F26"/>
    <mergeCell ref="E27:F27"/>
    <mergeCell ref="E28:F28"/>
    <mergeCell ref="E29:F29"/>
    <mergeCell ref="E30:F30"/>
    <mergeCell ref="E31:F31"/>
    <mergeCell ref="E32:F3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63"/>
  </cols>
  <sheetData>
    <row r="1">
      <c r="A1" s="13" t="s">
        <v>87</v>
      </c>
      <c r="E1" s="14" t="s">
        <v>3</v>
      </c>
      <c r="F1" s="15"/>
    </row>
    <row r="2">
      <c r="A2" s="19"/>
      <c r="E2" s="5"/>
      <c r="F2" s="10"/>
    </row>
    <row r="3">
      <c r="A3" s="19"/>
      <c r="E3" s="18" t="s">
        <v>6</v>
      </c>
      <c r="F3" s="26">
        <f>SUM(C10:C34)</f>
        <v>12498.2</v>
      </c>
    </row>
    <row r="4">
      <c r="A4" s="19"/>
      <c r="E4" s="31"/>
      <c r="F4" s="34"/>
    </row>
    <row r="5">
      <c r="A5" s="19"/>
      <c r="E5" s="36" t="s">
        <v>14</v>
      </c>
      <c r="F5" s="37">
        <f>F3</f>
        <v>12498.2</v>
      </c>
    </row>
    <row r="6">
      <c r="A6" s="19"/>
      <c r="E6" s="39"/>
      <c r="F6" s="10"/>
    </row>
    <row r="7">
      <c r="A7" s="40">
        <v>24.7</v>
      </c>
      <c r="B7" s="41">
        <v>22.0</v>
      </c>
      <c r="C7" s="43" t="s">
        <v>21</v>
      </c>
      <c r="D7" s="5"/>
      <c r="E7" s="5"/>
      <c r="F7" s="10"/>
    </row>
    <row r="8">
      <c r="A8" s="42" t="s">
        <v>88</v>
      </c>
      <c r="D8" s="45"/>
      <c r="E8" s="47" t="s">
        <v>24</v>
      </c>
      <c r="F8" s="48"/>
    </row>
    <row r="9">
      <c r="A9" s="49" t="s">
        <v>25</v>
      </c>
      <c r="B9" s="50" t="s">
        <v>26</v>
      </c>
      <c r="C9" s="50" t="s">
        <v>27</v>
      </c>
      <c r="D9" s="51"/>
      <c r="E9" s="54" t="s">
        <v>28</v>
      </c>
      <c r="F9" s="48"/>
    </row>
    <row r="10">
      <c r="A10" s="78" t="s">
        <v>29</v>
      </c>
      <c r="B10" s="79" t="s">
        <v>30</v>
      </c>
      <c r="C10" s="80">
        <f t="shared" ref="C10:C23" si="1">24.7*$B$7</f>
        <v>543.4</v>
      </c>
      <c r="D10" s="81"/>
      <c r="E10" s="82"/>
      <c r="F10" s="48"/>
    </row>
    <row r="11">
      <c r="A11" s="83" t="s">
        <v>31</v>
      </c>
      <c r="B11" s="84" t="s">
        <v>32</v>
      </c>
      <c r="C11" s="58">
        <f t="shared" si="1"/>
        <v>543.4</v>
      </c>
      <c r="D11" s="60"/>
      <c r="E11" s="82"/>
      <c r="F11" s="48"/>
    </row>
    <row r="12">
      <c r="A12" s="78" t="s">
        <v>33</v>
      </c>
      <c r="B12" s="79" t="s">
        <v>34</v>
      </c>
      <c r="C12" s="80">
        <f t="shared" si="1"/>
        <v>543.4</v>
      </c>
      <c r="D12" s="81"/>
      <c r="E12" s="82"/>
      <c r="F12" s="48"/>
    </row>
    <row r="13">
      <c r="A13" s="83" t="s">
        <v>35</v>
      </c>
      <c r="B13" s="84" t="s">
        <v>36</v>
      </c>
      <c r="C13" s="58">
        <f t="shared" si="1"/>
        <v>543.4</v>
      </c>
      <c r="D13" s="60"/>
      <c r="E13" s="82"/>
      <c r="F13" s="48"/>
    </row>
    <row r="14">
      <c r="A14" s="78" t="s">
        <v>39</v>
      </c>
      <c r="B14" s="79" t="s">
        <v>40</v>
      </c>
      <c r="C14" s="80">
        <f t="shared" si="1"/>
        <v>543.4</v>
      </c>
      <c r="D14" s="81"/>
      <c r="E14" s="82"/>
      <c r="F14" s="48"/>
    </row>
    <row r="15">
      <c r="A15" s="83" t="s">
        <v>41</v>
      </c>
      <c r="B15" s="84" t="s">
        <v>42</v>
      </c>
      <c r="C15" s="58">
        <f t="shared" si="1"/>
        <v>543.4</v>
      </c>
      <c r="D15" s="60"/>
      <c r="E15" s="82"/>
      <c r="F15" s="48"/>
    </row>
    <row r="16">
      <c r="A16" s="78" t="s">
        <v>43</v>
      </c>
      <c r="B16" s="79" t="s">
        <v>44</v>
      </c>
      <c r="C16" s="80">
        <f t="shared" si="1"/>
        <v>543.4</v>
      </c>
      <c r="D16" s="81"/>
      <c r="E16" s="82"/>
      <c r="F16" s="48"/>
    </row>
    <row r="17">
      <c r="A17" s="83" t="s">
        <v>47</v>
      </c>
      <c r="B17" s="84" t="s">
        <v>48</v>
      </c>
      <c r="C17" s="58">
        <f t="shared" si="1"/>
        <v>543.4</v>
      </c>
      <c r="D17" s="60"/>
      <c r="E17" s="82"/>
      <c r="F17" s="48"/>
    </row>
    <row r="18">
      <c r="A18" s="85" t="s">
        <v>90</v>
      </c>
      <c r="B18" s="87" t="s">
        <v>91</v>
      </c>
      <c r="C18" s="58">
        <f t="shared" si="1"/>
        <v>543.4</v>
      </c>
      <c r="D18" s="60"/>
      <c r="E18" s="82"/>
      <c r="F18" s="48"/>
    </row>
    <row r="19">
      <c r="A19" s="83" t="s">
        <v>92</v>
      </c>
      <c r="B19" s="84" t="s">
        <v>93</v>
      </c>
      <c r="C19" s="58">
        <f t="shared" si="1"/>
        <v>543.4</v>
      </c>
      <c r="D19" s="60"/>
      <c r="E19" s="82"/>
      <c r="F19" s="48"/>
    </row>
    <row r="20">
      <c r="A20" s="78" t="s">
        <v>51</v>
      </c>
      <c r="B20" s="79" t="s">
        <v>52</v>
      </c>
      <c r="C20" s="58">
        <f t="shared" si="1"/>
        <v>543.4</v>
      </c>
      <c r="D20" s="81"/>
      <c r="E20" s="82"/>
      <c r="F20" s="48"/>
    </row>
    <row r="21">
      <c r="A21" s="83" t="s">
        <v>80</v>
      </c>
      <c r="B21" s="84" t="s">
        <v>81</v>
      </c>
      <c r="C21" s="58">
        <f t="shared" si="1"/>
        <v>543.4</v>
      </c>
      <c r="D21" s="60"/>
      <c r="E21" s="82"/>
      <c r="F21" s="48"/>
    </row>
    <row r="22">
      <c r="A22" s="78" t="s">
        <v>53</v>
      </c>
      <c r="B22" s="79" t="s">
        <v>54</v>
      </c>
      <c r="C22" s="80">
        <f t="shared" si="1"/>
        <v>543.4</v>
      </c>
      <c r="D22" s="81"/>
      <c r="E22" s="82"/>
      <c r="F22" s="48"/>
    </row>
    <row r="23">
      <c r="A23" s="83" t="s">
        <v>55</v>
      </c>
      <c r="B23" s="84" t="s">
        <v>56</v>
      </c>
      <c r="C23" s="58">
        <f t="shared" si="1"/>
        <v>543.4</v>
      </c>
      <c r="D23" s="60"/>
      <c r="E23" s="82"/>
      <c r="F23" s="48"/>
    </row>
    <row r="24">
      <c r="A24" s="78"/>
      <c r="B24" s="79"/>
      <c r="C24" s="80"/>
      <c r="D24" s="81"/>
      <c r="E24" s="82"/>
      <c r="F24" s="48"/>
    </row>
    <row r="25">
      <c r="A25" s="83" t="s">
        <v>59</v>
      </c>
      <c r="B25" s="84" t="s">
        <v>60</v>
      </c>
      <c r="C25" s="58">
        <f t="shared" ref="C25:C28" si="2">24.7*$B$7</f>
        <v>543.4</v>
      </c>
      <c r="D25" s="60"/>
      <c r="E25" s="82"/>
      <c r="F25" s="48"/>
    </row>
    <row r="26">
      <c r="A26" s="78" t="s">
        <v>61</v>
      </c>
      <c r="B26" s="79" t="s">
        <v>62</v>
      </c>
      <c r="C26" s="80">
        <f t="shared" si="2"/>
        <v>543.4</v>
      </c>
      <c r="D26" s="81"/>
      <c r="E26" s="82"/>
      <c r="F26" s="48"/>
    </row>
    <row r="27">
      <c r="A27" s="83" t="s">
        <v>63</v>
      </c>
      <c r="B27" s="84" t="s">
        <v>64</v>
      </c>
      <c r="C27" s="58">
        <f t="shared" si="2"/>
        <v>543.4</v>
      </c>
      <c r="D27" s="60"/>
      <c r="E27" s="82"/>
      <c r="F27" s="48"/>
    </row>
    <row r="28">
      <c r="A28" s="78" t="s">
        <v>65</v>
      </c>
      <c r="B28" s="79" t="s">
        <v>66</v>
      </c>
      <c r="C28" s="58">
        <f t="shared" si="2"/>
        <v>543.4</v>
      </c>
      <c r="D28" s="81"/>
      <c r="E28" s="82"/>
      <c r="F28" s="48"/>
    </row>
    <row r="29">
      <c r="A29" s="83" t="s">
        <v>69</v>
      </c>
      <c r="B29" s="84" t="s">
        <v>70</v>
      </c>
      <c r="C29" s="58">
        <v>0.0</v>
      </c>
      <c r="D29" s="60"/>
      <c r="E29" s="82" t="s">
        <v>96</v>
      </c>
      <c r="F29" s="48"/>
    </row>
    <row r="30">
      <c r="A30" s="78" t="s">
        <v>82</v>
      </c>
      <c r="B30" s="79" t="s">
        <v>83</v>
      </c>
      <c r="C30" s="80">
        <f t="shared" ref="C30:C34" si="3">24.7*$B$7</f>
        <v>543.4</v>
      </c>
      <c r="D30" s="81"/>
      <c r="E30" s="82"/>
      <c r="F30" s="48"/>
    </row>
    <row r="31">
      <c r="A31" s="83" t="s">
        <v>73</v>
      </c>
      <c r="B31" s="84" t="s">
        <v>74</v>
      </c>
      <c r="C31" s="58">
        <f t="shared" si="3"/>
        <v>543.4</v>
      </c>
      <c r="D31" s="60"/>
      <c r="E31" s="82"/>
      <c r="F31" s="48"/>
    </row>
    <row r="32">
      <c r="A32" s="78" t="s">
        <v>85</v>
      </c>
      <c r="B32" s="79" t="s">
        <v>86</v>
      </c>
      <c r="C32" s="80">
        <f t="shared" si="3"/>
        <v>543.4</v>
      </c>
      <c r="D32" s="81"/>
      <c r="E32" s="82"/>
      <c r="F32" s="48"/>
    </row>
    <row r="33">
      <c r="A33" s="83" t="s">
        <v>75</v>
      </c>
      <c r="B33" s="84" t="s">
        <v>76</v>
      </c>
      <c r="C33" s="58">
        <f t="shared" si="3"/>
        <v>543.4</v>
      </c>
      <c r="D33" s="60"/>
      <c r="E33" s="82"/>
      <c r="F33" s="48"/>
    </row>
    <row r="34">
      <c r="A34" s="78" t="s">
        <v>77</v>
      </c>
      <c r="B34" s="79" t="s">
        <v>78</v>
      </c>
      <c r="C34" s="58">
        <f t="shared" si="3"/>
        <v>543.4</v>
      </c>
      <c r="D34" s="81"/>
      <c r="E34" s="82"/>
      <c r="F34" s="48"/>
    </row>
    <row r="35">
      <c r="A35" s="95">
        <v>44713.0</v>
      </c>
      <c r="B35" s="8"/>
      <c r="C35" s="58"/>
      <c r="D35" s="5"/>
      <c r="E35" s="5"/>
      <c r="F35" s="5"/>
    </row>
  </sheetData>
  <mergeCells count="30">
    <mergeCell ref="A1:D6"/>
    <mergeCell ref="E1:F1"/>
    <mergeCell ref="A8:C8"/>
    <mergeCell ref="E8:F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33:F33"/>
    <mergeCell ref="E34:F34"/>
    <mergeCell ref="E26:F26"/>
    <mergeCell ref="E27:F27"/>
    <mergeCell ref="E28:F28"/>
    <mergeCell ref="E29:F29"/>
    <mergeCell ref="E30:F30"/>
    <mergeCell ref="E31:F31"/>
    <mergeCell ref="E32:F32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15.5"/>
    <col customWidth="1" min="4" max="4" width="5.75"/>
    <col customWidth="1" min="5" max="5" width="12.5"/>
    <col customWidth="1" min="6" max="6" width="10.38"/>
  </cols>
  <sheetData>
    <row r="1">
      <c r="A1" s="13" t="s">
        <v>87</v>
      </c>
      <c r="E1" s="14" t="s">
        <v>3</v>
      </c>
      <c r="F1" s="15"/>
    </row>
    <row r="2">
      <c r="A2" s="19"/>
      <c r="E2" s="5"/>
      <c r="F2" s="10"/>
    </row>
    <row r="3">
      <c r="A3" s="19"/>
      <c r="E3" s="18" t="s">
        <v>6</v>
      </c>
      <c r="F3" s="26">
        <f>SUM(C10:C33)</f>
        <v>13066.3</v>
      </c>
    </row>
    <row r="4">
      <c r="A4" s="19"/>
      <c r="E4" s="31"/>
      <c r="F4" s="34"/>
    </row>
    <row r="5">
      <c r="A5" s="19"/>
      <c r="E5" s="36" t="s">
        <v>14</v>
      </c>
      <c r="F5" s="37">
        <f>F3</f>
        <v>13066.3</v>
      </c>
    </row>
    <row r="6" ht="1.5" customHeight="1">
      <c r="A6" s="19"/>
      <c r="E6" s="39"/>
      <c r="F6" s="10"/>
    </row>
    <row r="7">
      <c r="A7" s="40">
        <v>24.7</v>
      </c>
      <c r="B7" s="41">
        <v>23.0</v>
      </c>
      <c r="C7" s="43" t="s">
        <v>21</v>
      </c>
      <c r="D7" s="5"/>
      <c r="E7" s="5"/>
      <c r="F7" s="10"/>
    </row>
    <row r="8">
      <c r="A8" s="42" t="s">
        <v>89</v>
      </c>
      <c r="D8" s="45"/>
      <c r="E8" s="47" t="s">
        <v>24</v>
      </c>
      <c r="F8" s="48"/>
    </row>
    <row r="9">
      <c r="A9" s="49" t="s">
        <v>25</v>
      </c>
      <c r="B9" s="50" t="s">
        <v>26</v>
      </c>
      <c r="C9" s="50" t="s">
        <v>27</v>
      </c>
      <c r="D9" s="51"/>
      <c r="E9" s="54" t="s">
        <v>28</v>
      </c>
      <c r="F9" s="48"/>
    </row>
    <row r="10">
      <c r="A10" s="78" t="s">
        <v>29</v>
      </c>
      <c r="B10" s="79" t="s">
        <v>30</v>
      </c>
      <c r="C10" s="80">
        <f t="shared" ref="C10:C32" si="1">24.7*$B$7</f>
        <v>568.1</v>
      </c>
      <c r="D10" s="81"/>
      <c r="E10" s="82"/>
      <c r="F10" s="48"/>
    </row>
    <row r="11">
      <c r="A11" s="83" t="s">
        <v>31</v>
      </c>
      <c r="B11" s="84" t="s">
        <v>32</v>
      </c>
      <c r="C11" s="58">
        <f t="shared" si="1"/>
        <v>568.1</v>
      </c>
      <c r="D11" s="60"/>
      <c r="E11" s="86"/>
      <c r="F11" s="48"/>
    </row>
    <row r="12">
      <c r="A12" s="78" t="s">
        <v>33</v>
      </c>
      <c r="B12" s="79" t="s">
        <v>34</v>
      </c>
      <c r="C12" s="80">
        <f t="shared" si="1"/>
        <v>568.1</v>
      </c>
      <c r="D12" s="81"/>
      <c r="E12" s="82"/>
      <c r="F12" s="48"/>
    </row>
    <row r="13">
      <c r="A13" s="83" t="s">
        <v>35</v>
      </c>
      <c r="B13" s="84" t="s">
        <v>36</v>
      </c>
      <c r="C13" s="58">
        <f t="shared" si="1"/>
        <v>568.1</v>
      </c>
      <c r="D13" s="60"/>
      <c r="E13" s="86"/>
      <c r="F13" s="48"/>
    </row>
    <row r="14">
      <c r="A14" s="78" t="s">
        <v>39</v>
      </c>
      <c r="B14" s="79" t="s">
        <v>40</v>
      </c>
      <c r="C14" s="80">
        <f t="shared" si="1"/>
        <v>568.1</v>
      </c>
      <c r="D14" s="81"/>
      <c r="E14" s="82"/>
      <c r="F14" s="48"/>
    </row>
    <row r="15">
      <c r="A15" s="83" t="s">
        <v>41</v>
      </c>
      <c r="B15" s="84" t="s">
        <v>42</v>
      </c>
      <c r="C15" s="58">
        <f t="shared" si="1"/>
        <v>568.1</v>
      </c>
      <c r="D15" s="60"/>
      <c r="E15" s="86"/>
      <c r="F15" s="48"/>
    </row>
    <row r="16">
      <c r="A16" s="78" t="s">
        <v>43</v>
      </c>
      <c r="B16" s="79" t="s">
        <v>44</v>
      </c>
      <c r="C16" s="80">
        <f t="shared" si="1"/>
        <v>568.1</v>
      </c>
      <c r="D16" s="81"/>
      <c r="E16" s="82"/>
      <c r="F16" s="48"/>
    </row>
    <row r="17">
      <c r="A17" s="83" t="s">
        <v>47</v>
      </c>
      <c r="B17" s="84" t="s">
        <v>48</v>
      </c>
      <c r="C17" s="58">
        <f t="shared" si="1"/>
        <v>568.1</v>
      </c>
      <c r="D17" s="60"/>
      <c r="E17" s="86"/>
      <c r="F17" s="48"/>
    </row>
    <row r="18">
      <c r="A18" s="83" t="s">
        <v>92</v>
      </c>
      <c r="B18" s="84" t="s">
        <v>93</v>
      </c>
      <c r="C18" s="58">
        <f t="shared" si="1"/>
        <v>568.1</v>
      </c>
      <c r="D18" s="60"/>
      <c r="E18" s="88"/>
      <c r="F18" s="88"/>
    </row>
    <row r="19">
      <c r="A19" s="78" t="s">
        <v>51</v>
      </c>
      <c r="B19" s="79" t="s">
        <v>52</v>
      </c>
      <c r="C19" s="80">
        <f t="shared" si="1"/>
        <v>568.1</v>
      </c>
      <c r="D19" s="81"/>
      <c r="E19" s="82"/>
      <c r="F19" s="48"/>
    </row>
    <row r="20">
      <c r="A20" s="83" t="s">
        <v>80</v>
      </c>
      <c r="B20" s="84" t="s">
        <v>81</v>
      </c>
      <c r="C20" s="58">
        <f t="shared" si="1"/>
        <v>568.1</v>
      </c>
      <c r="D20" s="60"/>
      <c r="E20" s="86"/>
      <c r="F20" s="48"/>
    </row>
    <row r="21">
      <c r="A21" s="78" t="s">
        <v>53</v>
      </c>
      <c r="B21" s="79" t="s">
        <v>54</v>
      </c>
      <c r="C21" s="80">
        <f t="shared" si="1"/>
        <v>568.1</v>
      </c>
      <c r="D21" s="81"/>
      <c r="E21" s="82"/>
      <c r="F21" s="48"/>
    </row>
    <row r="22">
      <c r="A22" s="83" t="s">
        <v>55</v>
      </c>
      <c r="B22" s="84" t="s">
        <v>56</v>
      </c>
      <c r="C22" s="58">
        <f t="shared" si="1"/>
        <v>568.1</v>
      </c>
      <c r="D22" s="60"/>
      <c r="E22" s="86"/>
      <c r="F22" s="48"/>
    </row>
    <row r="23">
      <c r="A23" s="78" t="s">
        <v>57</v>
      </c>
      <c r="B23" s="79" t="s">
        <v>58</v>
      </c>
      <c r="C23" s="80">
        <f t="shared" si="1"/>
        <v>568.1</v>
      </c>
      <c r="D23" s="81"/>
      <c r="E23" s="82"/>
      <c r="F23" s="48"/>
    </row>
    <row r="24">
      <c r="A24" s="83" t="s">
        <v>59</v>
      </c>
      <c r="B24" s="84" t="s">
        <v>60</v>
      </c>
      <c r="C24" s="58">
        <f t="shared" si="1"/>
        <v>568.1</v>
      </c>
      <c r="D24" s="60"/>
      <c r="E24" s="86"/>
      <c r="F24" s="48"/>
    </row>
    <row r="25">
      <c r="A25" s="78" t="s">
        <v>61</v>
      </c>
      <c r="B25" s="79" t="s">
        <v>62</v>
      </c>
      <c r="C25" s="80">
        <f t="shared" si="1"/>
        <v>568.1</v>
      </c>
      <c r="D25" s="81"/>
      <c r="E25" s="82"/>
      <c r="F25" s="48"/>
    </row>
    <row r="26">
      <c r="A26" s="83" t="s">
        <v>63</v>
      </c>
      <c r="B26" s="84" t="s">
        <v>64</v>
      </c>
      <c r="C26" s="58">
        <f t="shared" si="1"/>
        <v>568.1</v>
      </c>
      <c r="D26" s="60"/>
      <c r="E26" s="89"/>
      <c r="F26" s="48"/>
    </row>
    <row r="27">
      <c r="A27" s="78" t="s">
        <v>65</v>
      </c>
      <c r="B27" s="79" t="s">
        <v>66</v>
      </c>
      <c r="C27" s="80">
        <f t="shared" si="1"/>
        <v>568.1</v>
      </c>
      <c r="D27" s="81"/>
      <c r="E27" s="90"/>
      <c r="F27" s="91"/>
    </row>
    <row r="28">
      <c r="A28" s="83" t="s">
        <v>69</v>
      </c>
      <c r="B28" s="84" t="s">
        <v>70</v>
      </c>
      <c r="C28" s="58">
        <f t="shared" si="1"/>
        <v>568.1</v>
      </c>
      <c r="D28" s="60"/>
      <c r="E28" s="92"/>
      <c r="F28" s="91"/>
    </row>
    <row r="29">
      <c r="A29" s="78" t="s">
        <v>82</v>
      </c>
      <c r="B29" s="79" t="s">
        <v>83</v>
      </c>
      <c r="C29" s="80">
        <f t="shared" si="1"/>
        <v>568.1</v>
      </c>
      <c r="D29" s="81"/>
      <c r="E29" s="93"/>
      <c r="F29" s="91"/>
    </row>
    <row r="30">
      <c r="A30" s="83" t="s">
        <v>73</v>
      </c>
      <c r="B30" s="84" t="s">
        <v>74</v>
      </c>
      <c r="C30" s="58">
        <f t="shared" si="1"/>
        <v>568.1</v>
      </c>
      <c r="D30" s="60"/>
      <c r="E30" s="92"/>
      <c r="F30" s="91"/>
    </row>
    <row r="31">
      <c r="A31" s="78" t="s">
        <v>85</v>
      </c>
      <c r="B31" s="79" t="s">
        <v>86</v>
      </c>
      <c r="C31" s="80">
        <f t="shared" si="1"/>
        <v>568.1</v>
      </c>
      <c r="D31" s="81"/>
      <c r="E31" s="93"/>
      <c r="F31" s="91"/>
    </row>
    <row r="32">
      <c r="A32" s="83" t="s">
        <v>75</v>
      </c>
      <c r="B32" s="84" t="s">
        <v>76</v>
      </c>
      <c r="C32" s="58">
        <f t="shared" si="1"/>
        <v>568.1</v>
      </c>
      <c r="D32" s="60"/>
      <c r="E32" s="92"/>
      <c r="F32" s="91"/>
    </row>
    <row r="33">
      <c r="A33" s="78" t="s">
        <v>77</v>
      </c>
      <c r="B33" s="79" t="s">
        <v>78</v>
      </c>
      <c r="C33" s="80">
        <v>0.0</v>
      </c>
      <c r="D33" s="81"/>
      <c r="E33" s="94" t="s">
        <v>96</v>
      </c>
      <c r="F33" s="91"/>
    </row>
    <row r="34">
      <c r="A34" s="95">
        <v>44621.0</v>
      </c>
      <c r="B34" s="8"/>
      <c r="C34" s="8"/>
      <c r="D34" s="5"/>
      <c r="E34" s="5"/>
      <c r="F34" s="5"/>
    </row>
    <row r="35">
      <c r="A35" s="5"/>
      <c r="B35" s="8"/>
      <c r="C35" s="8"/>
      <c r="D35" s="5"/>
      <c r="E35" s="5"/>
      <c r="F35" s="5"/>
    </row>
    <row r="36">
      <c r="A36" s="5"/>
      <c r="B36" s="8"/>
      <c r="C36" s="8"/>
      <c r="D36" s="5"/>
      <c r="E36" s="5"/>
      <c r="F36" s="5"/>
    </row>
  </sheetData>
  <mergeCells count="28">
    <mergeCell ref="A1:D6"/>
    <mergeCell ref="E1:F1"/>
    <mergeCell ref="A8:C8"/>
    <mergeCell ref="E8:F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9:F19"/>
    <mergeCell ref="E27:F27"/>
    <mergeCell ref="E28:F28"/>
    <mergeCell ref="E29:F29"/>
    <mergeCell ref="E30:F30"/>
    <mergeCell ref="E31:F31"/>
    <mergeCell ref="E32:F32"/>
    <mergeCell ref="E33:F33"/>
    <mergeCell ref="E20:F20"/>
    <mergeCell ref="E21:F21"/>
    <mergeCell ref="E22:F22"/>
    <mergeCell ref="E23:F23"/>
    <mergeCell ref="E24:F24"/>
    <mergeCell ref="E25:F25"/>
    <mergeCell ref="E26:F26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3" t="s">
        <v>87</v>
      </c>
      <c r="E1" s="14" t="s">
        <v>3</v>
      </c>
      <c r="F1" s="15"/>
    </row>
    <row r="2">
      <c r="A2" s="19"/>
      <c r="E2" s="5"/>
      <c r="F2" s="10"/>
    </row>
    <row r="3">
      <c r="A3" s="19"/>
      <c r="E3" s="18" t="s">
        <v>6</v>
      </c>
      <c r="F3" s="26">
        <f>SUM(C10:C34)</f>
        <v>10546.9</v>
      </c>
    </row>
    <row r="4">
      <c r="A4" s="19"/>
      <c r="E4" s="31"/>
      <c r="F4" s="34"/>
    </row>
    <row r="5">
      <c r="A5" s="19"/>
      <c r="E5" s="36" t="s">
        <v>14</v>
      </c>
      <c r="F5" s="37">
        <f>F3</f>
        <v>10546.9</v>
      </c>
    </row>
    <row r="6">
      <c r="A6" s="19"/>
      <c r="E6" s="39"/>
      <c r="F6" s="10"/>
    </row>
    <row r="7">
      <c r="A7" s="40">
        <v>24.7</v>
      </c>
      <c r="B7" s="41">
        <v>17.0</v>
      </c>
      <c r="C7" s="43" t="s">
        <v>21</v>
      </c>
      <c r="D7" s="5"/>
      <c r="E7" s="5"/>
      <c r="F7" s="10"/>
    </row>
    <row r="8">
      <c r="A8" s="42" t="s">
        <v>94</v>
      </c>
      <c r="D8" s="45"/>
      <c r="E8" s="47" t="s">
        <v>24</v>
      </c>
      <c r="F8" s="48"/>
    </row>
    <row r="9">
      <c r="A9" s="49" t="s">
        <v>25</v>
      </c>
      <c r="B9" s="50" t="s">
        <v>26</v>
      </c>
      <c r="C9" s="50" t="s">
        <v>27</v>
      </c>
      <c r="D9" s="51"/>
      <c r="E9" s="54" t="s">
        <v>28</v>
      </c>
      <c r="F9" s="48"/>
    </row>
    <row r="10">
      <c r="A10" s="78" t="s">
        <v>29</v>
      </c>
      <c r="B10" s="79" t="s">
        <v>30</v>
      </c>
      <c r="C10" s="80">
        <f t="shared" ref="C10:C17" si="1">24.7*$B$7</f>
        <v>419.9</v>
      </c>
      <c r="D10" s="81"/>
      <c r="E10" s="82" t="s">
        <v>95</v>
      </c>
      <c r="F10" s="48"/>
    </row>
    <row r="11">
      <c r="A11" s="83" t="s">
        <v>31</v>
      </c>
      <c r="B11" s="84" t="s">
        <v>32</v>
      </c>
      <c r="C11" s="58">
        <f t="shared" si="1"/>
        <v>419.9</v>
      </c>
      <c r="D11" s="60"/>
      <c r="E11" s="82" t="s">
        <v>95</v>
      </c>
      <c r="F11" s="48"/>
    </row>
    <row r="12">
      <c r="A12" s="78" t="s">
        <v>33</v>
      </c>
      <c r="B12" s="79" t="s">
        <v>34</v>
      </c>
      <c r="C12" s="80">
        <f t="shared" si="1"/>
        <v>419.9</v>
      </c>
      <c r="D12" s="81"/>
      <c r="E12" s="82" t="s">
        <v>95</v>
      </c>
      <c r="F12" s="48"/>
    </row>
    <row r="13">
      <c r="A13" s="83" t="s">
        <v>35</v>
      </c>
      <c r="B13" s="84" t="s">
        <v>36</v>
      </c>
      <c r="C13" s="58">
        <f t="shared" si="1"/>
        <v>419.9</v>
      </c>
      <c r="D13" s="60"/>
      <c r="E13" s="82" t="s">
        <v>95</v>
      </c>
      <c r="F13" s="48"/>
    </row>
    <row r="14">
      <c r="A14" s="78" t="s">
        <v>39</v>
      </c>
      <c r="B14" s="79" t="s">
        <v>40</v>
      </c>
      <c r="C14" s="80">
        <f t="shared" si="1"/>
        <v>419.9</v>
      </c>
      <c r="D14" s="81"/>
      <c r="E14" s="82" t="s">
        <v>95</v>
      </c>
      <c r="F14" s="48"/>
    </row>
    <row r="15">
      <c r="A15" s="83" t="s">
        <v>41</v>
      </c>
      <c r="B15" s="84" t="s">
        <v>42</v>
      </c>
      <c r="C15" s="58">
        <f t="shared" si="1"/>
        <v>419.9</v>
      </c>
      <c r="D15" s="60"/>
      <c r="E15" s="82" t="s">
        <v>95</v>
      </c>
      <c r="F15" s="48"/>
    </row>
    <row r="16">
      <c r="A16" s="78" t="s">
        <v>43</v>
      </c>
      <c r="B16" s="79" t="s">
        <v>44</v>
      </c>
      <c r="C16" s="80">
        <f t="shared" si="1"/>
        <v>419.9</v>
      </c>
      <c r="D16" s="81"/>
      <c r="E16" s="82" t="s">
        <v>95</v>
      </c>
      <c r="F16" s="48"/>
    </row>
    <row r="17">
      <c r="A17" s="83" t="s">
        <v>47</v>
      </c>
      <c r="B17" s="84" t="s">
        <v>48</v>
      </c>
      <c r="C17" s="58">
        <f t="shared" si="1"/>
        <v>419.9</v>
      </c>
      <c r="D17" s="60"/>
      <c r="E17" s="82" t="s">
        <v>95</v>
      </c>
      <c r="F17" s="48"/>
    </row>
    <row r="18">
      <c r="A18" s="85" t="s">
        <v>90</v>
      </c>
      <c r="B18" s="87" t="s">
        <v>91</v>
      </c>
      <c r="C18" s="96">
        <v>469.3</v>
      </c>
      <c r="D18" s="60"/>
      <c r="E18" s="82"/>
      <c r="F18" s="48"/>
    </row>
    <row r="19">
      <c r="A19" s="83" t="s">
        <v>92</v>
      </c>
      <c r="B19" s="84" t="s">
        <v>93</v>
      </c>
      <c r="C19" s="58">
        <f>24.7*$B$7</f>
        <v>419.9</v>
      </c>
      <c r="D19" s="60"/>
      <c r="E19" s="82" t="s">
        <v>95</v>
      </c>
      <c r="F19" s="48"/>
    </row>
    <row r="20">
      <c r="A20" s="78" t="s">
        <v>51</v>
      </c>
      <c r="B20" s="79" t="s">
        <v>52</v>
      </c>
      <c r="C20" s="80">
        <v>370.5</v>
      </c>
      <c r="D20" s="81"/>
      <c r="E20" s="82" t="s">
        <v>95</v>
      </c>
      <c r="F20" s="48"/>
    </row>
    <row r="21">
      <c r="A21" s="83" t="s">
        <v>80</v>
      </c>
      <c r="B21" s="84" t="s">
        <v>81</v>
      </c>
      <c r="C21" s="58">
        <f t="shared" ref="C21:C33" si="2">24.7*$B$7</f>
        <v>419.9</v>
      </c>
      <c r="D21" s="60"/>
      <c r="E21" s="82" t="s">
        <v>95</v>
      </c>
      <c r="F21" s="48"/>
    </row>
    <row r="22">
      <c r="A22" s="78" t="s">
        <v>53</v>
      </c>
      <c r="B22" s="79" t="s">
        <v>54</v>
      </c>
      <c r="C22" s="80">
        <f t="shared" si="2"/>
        <v>419.9</v>
      </c>
      <c r="D22" s="81"/>
      <c r="E22" s="82" t="s">
        <v>95</v>
      </c>
      <c r="F22" s="48"/>
    </row>
    <row r="23">
      <c r="A23" s="83" t="s">
        <v>55</v>
      </c>
      <c r="B23" s="84" t="s">
        <v>56</v>
      </c>
      <c r="C23" s="58">
        <f t="shared" si="2"/>
        <v>419.9</v>
      </c>
      <c r="D23" s="60"/>
      <c r="E23" s="82" t="s">
        <v>95</v>
      </c>
      <c r="F23" s="48"/>
    </row>
    <row r="24">
      <c r="A24" s="78" t="s">
        <v>57</v>
      </c>
      <c r="B24" s="79" t="s">
        <v>58</v>
      </c>
      <c r="C24" s="80">
        <f t="shared" si="2"/>
        <v>419.9</v>
      </c>
      <c r="D24" s="81"/>
      <c r="E24" s="82" t="s">
        <v>95</v>
      </c>
      <c r="F24" s="48"/>
    </row>
    <row r="25">
      <c r="A25" s="83" t="s">
        <v>59</v>
      </c>
      <c r="B25" s="84" t="s">
        <v>60</v>
      </c>
      <c r="C25" s="58">
        <f t="shared" si="2"/>
        <v>419.9</v>
      </c>
      <c r="D25" s="60"/>
      <c r="E25" s="82" t="s">
        <v>95</v>
      </c>
      <c r="F25" s="48"/>
    </row>
    <row r="26">
      <c r="A26" s="78" t="s">
        <v>61</v>
      </c>
      <c r="B26" s="79" t="s">
        <v>62</v>
      </c>
      <c r="C26" s="80">
        <f t="shared" si="2"/>
        <v>419.9</v>
      </c>
      <c r="D26" s="81"/>
      <c r="E26" s="82" t="s">
        <v>95</v>
      </c>
      <c r="F26" s="48"/>
    </row>
    <row r="27">
      <c r="A27" s="83" t="s">
        <v>63</v>
      </c>
      <c r="B27" s="84" t="s">
        <v>64</v>
      </c>
      <c r="C27" s="58">
        <f t="shared" si="2"/>
        <v>419.9</v>
      </c>
      <c r="D27" s="60"/>
      <c r="E27" s="82" t="s">
        <v>95</v>
      </c>
      <c r="F27" s="48"/>
    </row>
    <row r="28">
      <c r="A28" s="78" t="s">
        <v>65</v>
      </c>
      <c r="B28" s="79" t="s">
        <v>66</v>
      </c>
      <c r="C28" s="80">
        <f t="shared" si="2"/>
        <v>419.9</v>
      </c>
      <c r="D28" s="81"/>
      <c r="E28" s="82" t="s">
        <v>95</v>
      </c>
      <c r="F28" s="48"/>
    </row>
    <row r="29">
      <c r="A29" s="83" t="s">
        <v>69</v>
      </c>
      <c r="B29" s="84" t="s">
        <v>70</v>
      </c>
      <c r="C29" s="58">
        <f t="shared" si="2"/>
        <v>419.9</v>
      </c>
      <c r="D29" s="60"/>
      <c r="E29" s="82" t="s">
        <v>95</v>
      </c>
      <c r="F29" s="48"/>
    </row>
    <row r="30">
      <c r="A30" s="78" t="s">
        <v>82</v>
      </c>
      <c r="B30" s="79" t="s">
        <v>83</v>
      </c>
      <c r="C30" s="80">
        <f t="shared" si="2"/>
        <v>419.9</v>
      </c>
      <c r="D30" s="81"/>
      <c r="E30" s="82" t="s">
        <v>95</v>
      </c>
      <c r="F30" s="48"/>
    </row>
    <row r="31">
      <c r="A31" s="83" t="s">
        <v>73</v>
      </c>
      <c r="B31" s="84" t="s">
        <v>74</v>
      </c>
      <c r="C31" s="58">
        <f t="shared" si="2"/>
        <v>419.9</v>
      </c>
      <c r="D31" s="60"/>
      <c r="E31" s="82" t="s">
        <v>95</v>
      </c>
      <c r="F31" s="48"/>
    </row>
    <row r="32">
      <c r="A32" s="78" t="s">
        <v>85</v>
      </c>
      <c r="B32" s="79" t="s">
        <v>86</v>
      </c>
      <c r="C32" s="80">
        <f t="shared" si="2"/>
        <v>419.9</v>
      </c>
      <c r="D32" s="81"/>
      <c r="E32" s="82" t="s">
        <v>95</v>
      </c>
      <c r="F32" s="48"/>
    </row>
    <row r="33">
      <c r="A33" s="83" t="s">
        <v>75</v>
      </c>
      <c r="B33" s="84" t="s">
        <v>76</v>
      </c>
      <c r="C33" s="58">
        <f t="shared" si="2"/>
        <v>419.9</v>
      </c>
      <c r="D33" s="60"/>
      <c r="E33" s="82" t="s">
        <v>95</v>
      </c>
      <c r="F33" s="48"/>
    </row>
    <row r="34">
      <c r="A34" s="78" t="s">
        <v>77</v>
      </c>
      <c r="B34" s="79" t="s">
        <v>78</v>
      </c>
      <c r="C34" s="58">
        <v>469.3</v>
      </c>
      <c r="D34" s="81"/>
      <c r="E34" s="82"/>
      <c r="F34" s="48"/>
    </row>
    <row r="35">
      <c r="A35" s="95">
        <v>44652.0</v>
      </c>
      <c r="B35" s="8"/>
      <c r="C35" s="58"/>
      <c r="D35" s="5"/>
      <c r="E35" s="5"/>
      <c r="F35" s="5"/>
    </row>
  </sheetData>
  <mergeCells count="30">
    <mergeCell ref="A1:D6"/>
    <mergeCell ref="E1:F1"/>
    <mergeCell ref="A8:C8"/>
    <mergeCell ref="E8:F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33:F33"/>
    <mergeCell ref="E34:F34"/>
    <mergeCell ref="E26:F26"/>
    <mergeCell ref="E27:F27"/>
    <mergeCell ref="E28:F28"/>
    <mergeCell ref="E29:F29"/>
    <mergeCell ref="E30:F30"/>
    <mergeCell ref="E31:F31"/>
    <mergeCell ref="E32:F32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63"/>
  </cols>
  <sheetData>
    <row r="1">
      <c r="A1" s="13" t="s">
        <v>87</v>
      </c>
      <c r="E1" s="14" t="s">
        <v>3</v>
      </c>
      <c r="F1" s="15"/>
    </row>
    <row r="2">
      <c r="A2" s="19"/>
      <c r="E2" s="5"/>
      <c r="F2" s="10"/>
    </row>
    <row r="3">
      <c r="A3" s="19"/>
      <c r="E3" s="18" t="s">
        <v>6</v>
      </c>
      <c r="F3" s="26">
        <f>SUM(C10:C34)</f>
        <v>11411.4</v>
      </c>
    </row>
    <row r="4">
      <c r="A4" s="19"/>
      <c r="E4" s="31"/>
      <c r="F4" s="34"/>
    </row>
    <row r="5">
      <c r="A5" s="19"/>
      <c r="E5" s="36" t="s">
        <v>14</v>
      </c>
      <c r="F5" s="37">
        <f>F3</f>
        <v>11411.4</v>
      </c>
    </row>
    <row r="6">
      <c r="A6" s="19"/>
      <c r="E6" s="39"/>
      <c r="F6" s="10"/>
    </row>
    <row r="7">
      <c r="A7" s="40">
        <v>24.7</v>
      </c>
      <c r="B7" s="41">
        <v>21.0</v>
      </c>
      <c r="C7" s="43" t="s">
        <v>21</v>
      </c>
      <c r="D7" s="5"/>
      <c r="E7" s="5"/>
      <c r="F7" s="10"/>
    </row>
    <row r="8">
      <c r="A8" s="42" t="s">
        <v>97</v>
      </c>
      <c r="D8" s="45"/>
      <c r="E8" s="47" t="s">
        <v>24</v>
      </c>
      <c r="F8" s="48"/>
    </row>
    <row r="9">
      <c r="A9" s="49" t="s">
        <v>25</v>
      </c>
      <c r="B9" s="50" t="s">
        <v>26</v>
      </c>
      <c r="C9" s="50" t="s">
        <v>27</v>
      </c>
      <c r="D9" s="51"/>
      <c r="E9" s="54" t="s">
        <v>28</v>
      </c>
      <c r="F9" s="48"/>
    </row>
    <row r="10">
      <c r="A10" s="78" t="s">
        <v>29</v>
      </c>
      <c r="B10" s="79" t="s">
        <v>30</v>
      </c>
      <c r="C10" s="80">
        <f t="shared" ref="C10:C23" si="1">24.7*$B$7</f>
        <v>518.7</v>
      </c>
      <c r="D10" s="81"/>
      <c r="E10" s="82"/>
      <c r="F10" s="48"/>
    </row>
    <row r="11">
      <c r="A11" s="83" t="s">
        <v>31</v>
      </c>
      <c r="B11" s="84" t="s">
        <v>32</v>
      </c>
      <c r="C11" s="58">
        <f t="shared" si="1"/>
        <v>518.7</v>
      </c>
      <c r="D11" s="60"/>
      <c r="E11" s="82"/>
      <c r="F11" s="48"/>
    </row>
    <row r="12">
      <c r="A12" s="78" t="s">
        <v>33</v>
      </c>
      <c r="B12" s="79" t="s">
        <v>34</v>
      </c>
      <c r="C12" s="80">
        <f t="shared" si="1"/>
        <v>518.7</v>
      </c>
      <c r="D12" s="81"/>
      <c r="E12" s="82"/>
      <c r="F12" s="48"/>
    </row>
    <row r="13">
      <c r="A13" s="83" t="s">
        <v>35</v>
      </c>
      <c r="B13" s="84" t="s">
        <v>36</v>
      </c>
      <c r="C13" s="58">
        <f t="shared" si="1"/>
        <v>518.7</v>
      </c>
      <c r="D13" s="60"/>
      <c r="E13" s="82"/>
      <c r="F13" s="48"/>
    </row>
    <row r="14">
      <c r="A14" s="78" t="s">
        <v>39</v>
      </c>
      <c r="B14" s="79" t="s">
        <v>40</v>
      </c>
      <c r="C14" s="80">
        <f t="shared" si="1"/>
        <v>518.7</v>
      </c>
      <c r="D14" s="81"/>
      <c r="E14" s="82"/>
      <c r="F14" s="48"/>
    </row>
    <row r="15">
      <c r="A15" s="83" t="s">
        <v>41</v>
      </c>
      <c r="B15" s="84" t="s">
        <v>42</v>
      </c>
      <c r="C15" s="58">
        <f t="shared" si="1"/>
        <v>518.7</v>
      </c>
      <c r="D15" s="60"/>
      <c r="E15" s="82"/>
      <c r="F15" s="48"/>
    </row>
    <row r="16">
      <c r="A16" s="78" t="s">
        <v>43</v>
      </c>
      <c r="B16" s="79" t="s">
        <v>44</v>
      </c>
      <c r="C16" s="80">
        <f t="shared" si="1"/>
        <v>518.7</v>
      </c>
      <c r="D16" s="81"/>
      <c r="E16" s="82"/>
      <c r="F16" s="48"/>
    </row>
    <row r="17">
      <c r="A17" s="83" t="s">
        <v>47</v>
      </c>
      <c r="B17" s="84" t="s">
        <v>48</v>
      </c>
      <c r="C17" s="58">
        <f t="shared" si="1"/>
        <v>518.7</v>
      </c>
      <c r="D17" s="60"/>
      <c r="E17" s="82"/>
      <c r="F17" s="48"/>
    </row>
    <row r="18">
      <c r="A18" s="85" t="s">
        <v>90</v>
      </c>
      <c r="B18" s="87" t="s">
        <v>91</v>
      </c>
      <c r="C18" s="58">
        <f t="shared" si="1"/>
        <v>518.7</v>
      </c>
      <c r="D18" s="60"/>
      <c r="E18" s="82"/>
      <c r="F18" s="48"/>
    </row>
    <row r="19">
      <c r="A19" s="83" t="s">
        <v>92</v>
      </c>
      <c r="B19" s="84" t="s">
        <v>93</v>
      </c>
      <c r="C19" s="58">
        <f t="shared" si="1"/>
        <v>518.7</v>
      </c>
      <c r="D19" s="60"/>
      <c r="E19" s="82"/>
      <c r="F19" s="48"/>
    </row>
    <row r="20">
      <c r="A20" s="78" t="s">
        <v>51</v>
      </c>
      <c r="B20" s="79" t="s">
        <v>52</v>
      </c>
      <c r="C20" s="58">
        <f t="shared" si="1"/>
        <v>518.7</v>
      </c>
      <c r="D20" s="81"/>
      <c r="E20" s="82"/>
      <c r="F20" s="48"/>
    </row>
    <row r="21">
      <c r="A21" s="83" t="s">
        <v>80</v>
      </c>
      <c r="B21" s="84" t="s">
        <v>81</v>
      </c>
      <c r="C21" s="58">
        <f t="shared" si="1"/>
        <v>518.7</v>
      </c>
      <c r="D21" s="60"/>
      <c r="E21" s="82"/>
      <c r="F21" s="48"/>
    </row>
    <row r="22">
      <c r="A22" s="78" t="s">
        <v>53</v>
      </c>
      <c r="B22" s="79" t="s">
        <v>54</v>
      </c>
      <c r="C22" s="80">
        <f t="shared" si="1"/>
        <v>518.7</v>
      </c>
      <c r="D22" s="81"/>
      <c r="E22" s="82"/>
      <c r="F22" s="48"/>
    </row>
    <row r="23">
      <c r="A23" s="83" t="s">
        <v>55</v>
      </c>
      <c r="B23" s="84" t="s">
        <v>56</v>
      </c>
      <c r="C23" s="58">
        <f t="shared" si="1"/>
        <v>518.7</v>
      </c>
      <c r="D23" s="60"/>
      <c r="E23" s="82"/>
      <c r="F23" s="48"/>
    </row>
    <row r="24">
      <c r="A24" s="78"/>
      <c r="B24" s="79"/>
      <c r="C24" s="80"/>
      <c r="D24" s="81"/>
      <c r="E24" s="82"/>
      <c r="F24" s="48"/>
    </row>
    <row r="25">
      <c r="A25" s="83" t="s">
        <v>59</v>
      </c>
      <c r="B25" s="84" t="s">
        <v>60</v>
      </c>
      <c r="C25" s="58">
        <f>24.7*$B$7</f>
        <v>518.7</v>
      </c>
      <c r="D25" s="60"/>
      <c r="E25" s="82"/>
      <c r="F25" s="48"/>
    </row>
    <row r="26">
      <c r="A26" s="78" t="s">
        <v>61</v>
      </c>
      <c r="B26" s="79" t="s">
        <v>62</v>
      </c>
      <c r="C26" s="80">
        <v>0.0</v>
      </c>
      <c r="D26" s="81"/>
      <c r="E26" s="82" t="s">
        <v>96</v>
      </c>
      <c r="F26" s="48"/>
    </row>
    <row r="27">
      <c r="A27" s="83" t="s">
        <v>63</v>
      </c>
      <c r="B27" s="84" t="s">
        <v>64</v>
      </c>
      <c r="C27" s="58">
        <f t="shared" ref="C27:C29" si="2">24.7*$B$7</f>
        <v>518.7</v>
      </c>
      <c r="D27" s="60"/>
      <c r="E27" s="82"/>
      <c r="F27" s="48"/>
    </row>
    <row r="28">
      <c r="A28" s="78" t="s">
        <v>65</v>
      </c>
      <c r="B28" s="79" t="s">
        <v>66</v>
      </c>
      <c r="C28" s="58">
        <f t="shared" si="2"/>
        <v>518.7</v>
      </c>
      <c r="D28" s="81"/>
      <c r="E28" s="82"/>
      <c r="F28" s="48"/>
    </row>
    <row r="29">
      <c r="A29" s="83" t="s">
        <v>69</v>
      </c>
      <c r="B29" s="84" t="s">
        <v>70</v>
      </c>
      <c r="C29" s="58">
        <f t="shared" si="2"/>
        <v>518.7</v>
      </c>
      <c r="D29" s="60"/>
      <c r="E29" s="82"/>
      <c r="F29" s="48"/>
    </row>
    <row r="30">
      <c r="A30" s="78"/>
      <c r="B30" s="79"/>
      <c r="C30" s="80"/>
      <c r="D30" s="81"/>
      <c r="E30" s="82"/>
      <c r="F30" s="48"/>
    </row>
    <row r="31">
      <c r="A31" s="83" t="s">
        <v>73</v>
      </c>
      <c r="B31" s="84" t="s">
        <v>74</v>
      </c>
      <c r="C31" s="58">
        <f t="shared" ref="C31:C34" si="3">24.7*$B$7</f>
        <v>518.7</v>
      </c>
      <c r="D31" s="60"/>
      <c r="E31" s="82"/>
      <c r="F31" s="48"/>
    </row>
    <row r="32">
      <c r="A32" s="78" t="s">
        <v>85</v>
      </c>
      <c r="B32" s="79" t="s">
        <v>86</v>
      </c>
      <c r="C32" s="80">
        <f t="shared" si="3"/>
        <v>518.7</v>
      </c>
      <c r="D32" s="81"/>
      <c r="E32" s="82"/>
      <c r="F32" s="48"/>
    </row>
    <row r="33">
      <c r="A33" s="83" t="s">
        <v>75</v>
      </c>
      <c r="B33" s="84" t="s">
        <v>76</v>
      </c>
      <c r="C33" s="58">
        <f t="shared" si="3"/>
        <v>518.7</v>
      </c>
      <c r="D33" s="60"/>
      <c r="E33" s="82"/>
      <c r="F33" s="48"/>
    </row>
    <row r="34">
      <c r="A34" s="78" t="s">
        <v>77</v>
      </c>
      <c r="B34" s="79" t="s">
        <v>78</v>
      </c>
      <c r="C34" s="58">
        <f t="shared" si="3"/>
        <v>518.7</v>
      </c>
      <c r="D34" s="81"/>
      <c r="E34" s="82"/>
      <c r="F34" s="48"/>
    </row>
    <row r="35">
      <c r="A35" s="95">
        <v>44713.0</v>
      </c>
      <c r="B35" s="8"/>
      <c r="C35" s="58"/>
      <c r="D35" s="5"/>
      <c r="E35" s="5"/>
      <c r="F35" s="5"/>
    </row>
  </sheetData>
  <mergeCells count="30">
    <mergeCell ref="A1:D6"/>
    <mergeCell ref="E1:F1"/>
    <mergeCell ref="A8:C8"/>
    <mergeCell ref="E8:F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33:F33"/>
    <mergeCell ref="E34:F34"/>
    <mergeCell ref="E26:F26"/>
    <mergeCell ref="E27:F27"/>
    <mergeCell ref="E28:F28"/>
    <mergeCell ref="E29:F29"/>
    <mergeCell ref="E30:F30"/>
    <mergeCell ref="E31:F31"/>
    <mergeCell ref="E32:F32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63"/>
  </cols>
  <sheetData>
    <row r="1">
      <c r="A1" s="13" t="s">
        <v>87</v>
      </c>
      <c r="E1" s="14" t="s">
        <v>3</v>
      </c>
      <c r="F1" s="15"/>
    </row>
    <row r="2">
      <c r="A2" s="19"/>
      <c r="E2" s="5"/>
      <c r="F2" s="10"/>
    </row>
    <row r="3">
      <c r="A3" s="19"/>
      <c r="E3" s="18" t="s">
        <v>6</v>
      </c>
      <c r="F3" s="26">
        <f>SUM(C10:C34)</f>
        <v>11411.4</v>
      </c>
    </row>
    <row r="4">
      <c r="A4" s="19"/>
      <c r="E4" s="31"/>
      <c r="F4" s="34"/>
    </row>
    <row r="5">
      <c r="A5" s="19"/>
      <c r="E5" s="36" t="s">
        <v>14</v>
      </c>
      <c r="F5" s="37">
        <f>F3</f>
        <v>11411.4</v>
      </c>
    </row>
    <row r="6">
      <c r="A6" s="19"/>
      <c r="E6" s="39"/>
      <c r="F6" s="10"/>
    </row>
    <row r="7">
      <c r="A7" s="40">
        <v>24.7</v>
      </c>
      <c r="B7" s="41">
        <v>21.0</v>
      </c>
      <c r="C7" s="43" t="s">
        <v>21</v>
      </c>
      <c r="D7" s="5"/>
      <c r="E7" s="5"/>
      <c r="F7" s="10"/>
    </row>
    <row r="8">
      <c r="A8" s="42" t="s">
        <v>98</v>
      </c>
      <c r="D8" s="45"/>
      <c r="E8" s="47" t="s">
        <v>24</v>
      </c>
      <c r="F8" s="48"/>
    </row>
    <row r="9">
      <c r="A9" s="49" t="s">
        <v>25</v>
      </c>
      <c r="B9" s="50" t="s">
        <v>26</v>
      </c>
      <c r="C9" s="50" t="s">
        <v>27</v>
      </c>
      <c r="D9" s="51"/>
      <c r="E9" s="54" t="s">
        <v>28</v>
      </c>
      <c r="F9" s="48"/>
    </row>
    <row r="10">
      <c r="A10" s="78" t="s">
        <v>29</v>
      </c>
      <c r="B10" s="79" t="s">
        <v>30</v>
      </c>
      <c r="C10" s="80">
        <f>24.7*$B$7</f>
        <v>518.7</v>
      </c>
      <c r="D10" s="81"/>
      <c r="E10" s="82"/>
      <c r="F10" s="48"/>
    </row>
    <row r="11">
      <c r="A11" s="83" t="s">
        <v>31</v>
      </c>
      <c r="B11" s="84" t="s">
        <v>32</v>
      </c>
      <c r="C11" s="58">
        <v>0.0</v>
      </c>
      <c r="D11" s="60"/>
      <c r="E11" s="82" t="s">
        <v>96</v>
      </c>
      <c r="F11" s="48"/>
    </row>
    <row r="12">
      <c r="A12" s="78" t="s">
        <v>33</v>
      </c>
      <c r="B12" s="79" t="s">
        <v>34</v>
      </c>
      <c r="C12" s="80">
        <f t="shared" ref="C12:C23" si="1">24.7*$B$7</f>
        <v>518.7</v>
      </c>
      <c r="D12" s="81"/>
      <c r="E12" s="82"/>
      <c r="F12" s="48"/>
    </row>
    <row r="13">
      <c r="A13" s="83" t="s">
        <v>35</v>
      </c>
      <c r="B13" s="84" t="s">
        <v>36</v>
      </c>
      <c r="C13" s="58">
        <f t="shared" si="1"/>
        <v>518.7</v>
      </c>
      <c r="D13" s="60"/>
      <c r="E13" s="82"/>
      <c r="F13" s="48"/>
    </row>
    <row r="14">
      <c r="A14" s="78" t="s">
        <v>39</v>
      </c>
      <c r="B14" s="79" t="s">
        <v>40</v>
      </c>
      <c r="C14" s="80">
        <f t="shared" si="1"/>
        <v>518.7</v>
      </c>
      <c r="D14" s="81"/>
      <c r="E14" s="82"/>
      <c r="F14" s="48"/>
    </row>
    <row r="15">
      <c r="A15" s="83" t="s">
        <v>41</v>
      </c>
      <c r="B15" s="84" t="s">
        <v>42</v>
      </c>
      <c r="C15" s="58">
        <f t="shared" si="1"/>
        <v>518.7</v>
      </c>
      <c r="D15" s="60"/>
      <c r="E15" s="82"/>
      <c r="F15" s="48"/>
    </row>
    <row r="16">
      <c r="A16" s="78" t="s">
        <v>43</v>
      </c>
      <c r="B16" s="79" t="s">
        <v>44</v>
      </c>
      <c r="C16" s="80">
        <f t="shared" si="1"/>
        <v>518.7</v>
      </c>
      <c r="D16" s="81"/>
      <c r="E16" s="82"/>
      <c r="F16" s="48"/>
    </row>
    <row r="17">
      <c r="A17" s="83" t="s">
        <v>47</v>
      </c>
      <c r="B17" s="84" t="s">
        <v>48</v>
      </c>
      <c r="C17" s="58">
        <f t="shared" si="1"/>
        <v>518.7</v>
      </c>
      <c r="D17" s="60"/>
      <c r="E17" s="82"/>
      <c r="F17" s="48"/>
    </row>
    <row r="18">
      <c r="A18" s="85" t="s">
        <v>90</v>
      </c>
      <c r="B18" s="87" t="s">
        <v>91</v>
      </c>
      <c r="C18" s="58">
        <f t="shared" si="1"/>
        <v>518.7</v>
      </c>
      <c r="D18" s="60"/>
      <c r="E18" s="82"/>
      <c r="F18" s="48"/>
    </row>
    <row r="19">
      <c r="A19" s="83" t="s">
        <v>92</v>
      </c>
      <c r="B19" s="84" t="s">
        <v>93</v>
      </c>
      <c r="C19" s="58">
        <f t="shared" si="1"/>
        <v>518.7</v>
      </c>
      <c r="D19" s="60"/>
      <c r="E19" s="82"/>
      <c r="F19" s="48"/>
    </row>
    <row r="20">
      <c r="A20" s="78" t="s">
        <v>51</v>
      </c>
      <c r="B20" s="79" t="s">
        <v>52</v>
      </c>
      <c r="C20" s="58">
        <f t="shared" si="1"/>
        <v>518.7</v>
      </c>
      <c r="D20" s="81"/>
      <c r="E20" s="82"/>
      <c r="F20" s="48"/>
    </row>
    <row r="21">
      <c r="A21" s="83" t="s">
        <v>80</v>
      </c>
      <c r="B21" s="84" t="s">
        <v>81</v>
      </c>
      <c r="C21" s="58">
        <f t="shared" si="1"/>
        <v>518.7</v>
      </c>
      <c r="D21" s="60"/>
      <c r="E21" s="82"/>
      <c r="F21" s="48"/>
    </row>
    <row r="22">
      <c r="A22" s="78" t="s">
        <v>53</v>
      </c>
      <c r="B22" s="79" t="s">
        <v>54</v>
      </c>
      <c r="C22" s="80">
        <f t="shared" si="1"/>
        <v>518.7</v>
      </c>
      <c r="D22" s="81"/>
      <c r="E22" s="82"/>
      <c r="F22" s="48"/>
    </row>
    <row r="23">
      <c r="A23" s="83" t="s">
        <v>55</v>
      </c>
      <c r="B23" s="84" t="s">
        <v>56</v>
      </c>
      <c r="C23" s="58">
        <f t="shared" si="1"/>
        <v>518.7</v>
      </c>
      <c r="D23" s="60"/>
      <c r="E23" s="82"/>
      <c r="F23" s="48"/>
    </row>
    <row r="24">
      <c r="A24" s="78"/>
      <c r="B24" s="79"/>
      <c r="C24" s="80"/>
      <c r="D24" s="81"/>
      <c r="E24" s="82"/>
      <c r="F24" s="48"/>
    </row>
    <row r="25">
      <c r="A25" s="83" t="s">
        <v>59</v>
      </c>
      <c r="B25" s="84" t="s">
        <v>60</v>
      </c>
      <c r="C25" s="58">
        <f>24.7*$B$7</f>
        <v>518.7</v>
      </c>
      <c r="D25" s="60"/>
      <c r="E25" s="82"/>
      <c r="F25" s="48"/>
    </row>
    <row r="26">
      <c r="A26" s="78" t="s">
        <v>61</v>
      </c>
      <c r="B26" s="79" t="s">
        <v>62</v>
      </c>
      <c r="C26" s="80">
        <v>518.7</v>
      </c>
      <c r="D26" s="81"/>
      <c r="E26" s="82"/>
      <c r="F26" s="48"/>
    </row>
    <row r="27">
      <c r="A27" s="83" t="s">
        <v>63</v>
      </c>
      <c r="B27" s="84" t="s">
        <v>64</v>
      </c>
      <c r="C27" s="58">
        <f t="shared" ref="C27:C30" si="2">24.7*$B$7</f>
        <v>518.7</v>
      </c>
      <c r="D27" s="60"/>
      <c r="E27" s="82"/>
      <c r="F27" s="48"/>
    </row>
    <row r="28">
      <c r="A28" s="78" t="s">
        <v>65</v>
      </c>
      <c r="B28" s="79" t="s">
        <v>66</v>
      </c>
      <c r="C28" s="58">
        <f t="shared" si="2"/>
        <v>518.7</v>
      </c>
      <c r="D28" s="81"/>
      <c r="E28" s="82"/>
      <c r="F28" s="48"/>
    </row>
    <row r="29">
      <c r="A29" s="83" t="s">
        <v>69</v>
      </c>
      <c r="B29" s="84" t="s">
        <v>70</v>
      </c>
      <c r="C29" s="58">
        <f t="shared" si="2"/>
        <v>518.7</v>
      </c>
      <c r="D29" s="60"/>
      <c r="E29" s="82"/>
      <c r="F29" s="48"/>
    </row>
    <row r="30">
      <c r="A30" s="83" t="s">
        <v>102</v>
      </c>
      <c r="B30" s="84" t="s">
        <v>103</v>
      </c>
      <c r="C30" s="58">
        <f t="shared" si="2"/>
        <v>518.7</v>
      </c>
      <c r="D30" s="81"/>
      <c r="E30" s="82"/>
      <c r="F30" s="48"/>
    </row>
    <row r="31">
      <c r="A31" s="83" t="s">
        <v>73</v>
      </c>
      <c r="B31" s="84" t="s">
        <v>74</v>
      </c>
      <c r="C31" s="58">
        <v>0.0</v>
      </c>
      <c r="D31" s="60"/>
      <c r="E31" s="82" t="s">
        <v>96</v>
      </c>
      <c r="F31" s="48"/>
    </row>
    <row r="32">
      <c r="A32" s="78" t="s">
        <v>85</v>
      </c>
      <c r="B32" s="79" t="s">
        <v>86</v>
      </c>
      <c r="C32" s="80">
        <f t="shared" ref="C32:C34" si="3">24.7*$B$7</f>
        <v>518.7</v>
      </c>
      <c r="D32" s="81"/>
      <c r="E32" s="82"/>
      <c r="F32" s="48"/>
    </row>
    <row r="33">
      <c r="A33" s="83" t="s">
        <v>75</v>
      </c>
      <c r="B33" s="84" t="s">
        <v>76</v>
      </c>
      <c r="C33" s="58">
        <f t="shared" si="3"/>
        <v>518.7</v>
      </c>
      <c r="D33" s="60"/>
      <c r="E33" s="82"/>
      <c r="F33" s="48"/>
    </row>
    <row r="34">
      <c r="A34" s="78" t="s">
        <v>77</v>
      </c>
      <c r="B34" s="79" t="s">
        <v>78</v>
      </c>
      <c r="C34" s="58">
        <f t="shared" si="3"/>
        <v>518.7</v>
      </c>
      <c r="D34" s="81"/>
      <c r="E34" s="82"/>
      <c r="F34" s="48"/>
    </row>
    <row r="35">
      <c r="A35" s="95">
        <v>44743.0</v>
      </c>
      <c r="B35" s="8"/>
      <c r="C35" s="58"/>
      <c r="D35" s="5"/>
      <c r="E35" s="5"/>
      <c r="F35" s="5"/>
    </row>
  </sheetData>
  <mergeCells count="30">
    <mergeCell ref="A1:D6"/>
    <mergeCell ref="E1:F1"/>
    <mergeCell ref="A8:C8"/>
    <mergeCell ref="E8:F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33:F33"/>
    <mergeCell ref="E34:F34"/>
    <mergeCell ref="E26:F26"/>
    <mergeCell ref="E27:F27"/>
    <mergeCell ref="E28:F28"/>
    <mergeCell ref="E29:F29"/>
    <mergeCell ref="E30:F30"/>
    <mergeCell ref="E31:F31"/>
    <mergeCell ref="E32:F32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63"/>
  </cols>
  <sheetData>
    <row r="1">
      <c r="A1" s="13" t="s">
        <v>87</v>
      </c>
      <c r="E1" s="14" t="s">
        <v>3</v>
      </c>
      <c r="F1" s="15"/>
    </row>
    <row r="2">
      <c r="A2" s="19"/>
      <c r="E2" s="5"/>
      <c r="F2" s="10"/>
    </row>
    <row r="3">
      <c r="A3" s="19"/>
      <c r="E3" s="18" t="s">
        <v>6</v>
      </c>
      <c r="F3" s="26">
        <f>SUM(C10:C34)</f>
        <v>14202.5</v>
      </c>
    </row>
    <row r="4">
      <c r="A4" s="19"/>
      <c r="E4" s="31"/>
      <c r="F4" s="34"/>
    </row>
    <row r="5">
      <c r="A5" s="19"/>
      <c r="E5" s="36" t="s">
        <v>14</v>
      </c>
      <c r="F5" s="37">
        <f>F3</f>
        <v>14202.5</v>
      </c>
    </row>
    <row r="6">
      <c r="A6" s="19"/>
      <c r="E6" s="39"/>
      <c r="F6" s="10"/>
    </row>
    <row r="7">
      <c r="A7" s="40">
        <v>24.7</v>
      </c>
      <c r="B7" s="41">
        <v>23.0</v>
      </c>
      <c r="C7" s="43" t="s">
        <v>21</v>
      </c>
      <c r="D7" s="5"/>
      <c r="E7" s="5"/>
      <c r="F7" s="10"/>
    </row>
    <row r="8">
      <c r="A8" s="42" t="s">
        <v>99</v>
      </c>
      <c r="D8" s="45"/>
      <c r="E8" s="47" t="s">
        <v>24</v>
      </c>
      <c r="F8" s="48"/>
    </row>
    <row r="9">
      <c r="A9" s="49" t="s">
        <v>25</v>
      </c>
      <c r="B9" s="50" t="s">
        <v>26</v>
      </c>
      <c r="C9" s="50" t="s">
        <v>27</v>
      </c>
      <c r="D9" s="51"/>
      <c r="E9" s="54" t="s">
        <v>28</v>
      </c>
      <c r="F9" s="48"/>
    </row>
    <row r="10">
      <c r="A10" s="78" t="s">
        <v>29</v>
      </c>
      <c r="B10" s="79" t="s">
        <v>30</v>
      </c>
      <c r="C10" s="80">
        <f t="shared" ref="C10:C34" si="1">24.7*$B$7</f>
        <v>568.1</v>
      </c>
      <c r="D10" s="97"/>
      <c r="E10" s="82"/>
      <c r="F10" s="48"/>
    </row>
    <row r="11">
      <c r="A11" s="83" t="s">
        <v>31</v>
      </c>
      <c r="B11" s="84" t="s">
        <v>32</v>
      </c>
      <c r="C11" s="98">
        <f t="shared" si="1"/>
        <v>568.1</v>
      </c>
      <c r="D11" s="97"/>
      <c r="E11" s="82"/>
      <c r="F11" s="48"/>
    </row>
    <row r="12">
      <c r="A12" s="78" t="s">
        <v>33</v>
      </c>
      <c r="B12" s="79" t="s">
        <v>34</v>
      </c>
      <c r="C12" s="80">
        <f t="shared" si="1"/>
        <v>568.1</v>
      </c>
      <c r="D12" s="97"/>
      <c r="E12" s="82"/>
      <c r="F12" s="48"/>
    </row>
    <row r="13">
      <c r="A13" s="83" t="s">
        <v>35</v>
      </c>
      <c r="B13" s="84" t="s">
        <v>36</v>
      </c>
      <c r="C13" s="58">
        <f t="shared" si="1"/>
        <v>568.1</v>
      </c>
      <c r="D13" s="97"/>
      <c r="E13" s="82"/>
      <c r="F13" s="48"/>
    </row>
    <row r="14">
      <c r="A14" s="78" t="s">
        <v>39</v>
      </c>
      <c r="B14" s="79" t="s">
        <v>40</v>
      </c>
      <c r="C14" s="80">
        <f t="shared" si="1"/>
        <v>568.1</v>
      </c>
      <c r="D14" s="97"/>
      <c r="E14" s="82"/>
      <c r="F14" s="48"/>
    </row>
    <row r="15">
      <c r="A15" s="83" t="s">
        <v>41</v>
      </c>
      <c r="B15" s="84" t="s">
        <v>42</v>
      </c>
      <c r="C15" s="58">
        <f t="shared" si="1"/>
        <v>568.1</v>
      </c>
      <c r="D15" s="97"/>
      <c r="E15" s="82"/>
      <c r="F15" s="48"/>
    </row>
    <row r="16">
      <c r="A16" s="78" t="s">
        <v>43</v>
      </c>
      <c r="B16" s="79" t="s">
        <v>44</v>
      </c>
      <c r="C16" s="80">
        <f t="shared" si="1"/>
        <v>568.1</v>
      </c>
      <c r="D16" s="97"/>
      <c r="E16" s="82"/>
      <c r="F16" s="48"/>
    </row>
    <row r="17">
      <c r="A17" s="83" t="s">
        <v>47</v>
      </c>
      <c r="B17" s="84" t="s">
        <v>48</v>
      </c>
      <c r="C17" s="58">
        <f t="shared" si="1"/>
        <v>568.1</v>
      </c>
      <c r="D17" s="97"/>
      <c r="E17" s="82"/>
      <c r="F17" s="48"/>
    </row>
    <row r="18">
      <c r="A18" s="85" t="s">
        <v>100</v>
      </c>
      <c r="B18" s="87" t="s">
        <v>101</v>
      </c>
      <c r="C18" s="96">
        <f t="shared" si="1"/>
        <v>568.1</v>
      </c>
      <c r="D18" s="97"/>
      <c r="E18" s="99"/>
      <c r="F18" s="99"/>
    </row>
    <row r="19">
      <c r="A19" s="100" t="s">
        <v>90</v>
      </c>
      <c r="B19" s="101" t="s">
        <v>91</v>
      </c>
      <c r="C19" s="58">
        <f t="shared" si="1"/>
        <v>568.1</v>
      </c>
      <c r="D19" s="97"/>
      <c r="E19" s="82"/>
      <c r="F19" s="48"/>
    </row>
    <row r="20">
      <c r="A20" s="85" t="s">
        <v>92</v>
      </c>
      <c r="B20" s="87" t="s">
        <v>93</v>
      </c>
      <c r="C20" s="96">
        <f t="shared" si="1"/>
        <v>568.1</v>
      </c>
      <c r="D20" s="97"/>
      <c r="E20" s="82"/>
      <c r="F20" s="48"/>
    </row>
    <row r="21">
      <c r="A21" s="100" t="s">
        <v>51</v>
      </c>
      <c r="B21" s="101" t="s">
        <v>52</v>
      </c>
      <c r="C21" s="58">
        <f t="shared" si="1"/>
        <v>568.1</v>
      </c>
      <c r="D21" s="97"/>
      <c r="E21" s="82"/>
      <c r="F21" s="48"/>
    </row>
    <row r="22">
      <c r="A22" s="78" t="s">
        <v>80</v>
      </c>
      <c r="B22" s="79" t="s">
        <v>81</v>
      </c>
      <c r="C22" s="80">
        <f t="shared" si="1"/>
        <v>568.1</v>
      </c>
      <c r="D22" s="97"/>
      <c r="E22" s="82"/>
      <c r="F22" s="48"/>
    </row>
    <row r="23">
      <c r="A23" s="100" t="s">
        <v>53</v>
      </c>
      <c r="B23" s="101" t="s">
        <v>54</v>
      </c>
      <c r="C23" s="98">
        <f t="shared" si="1"/>
        <v>568.1</v>
      </c>
      <c r="D23" s="97"/>
      <c r="E23" s="82"/>
      <c r="F23" s="48"/>
    </row>
    <row r="24">
      <c r="A24" s="78" t="s">
        <v>55</v>
      </c>
      <c r="B24" s="79" t="s">
        <v>56</v>
      </c>
      <c r="C24" s="80">
        <f t="shared" si="1"/>
        <v>568.1</v>
      </c>
      <c r="D24" s="97"/>
      <c r="E24" s="82"/>
      <c r="F24" s="48"/>
    </row>
    <row r="25">
      <c r="A25" s="100" t="s">
        <v>59</v>
      </c>
      <c r="B25" s="101" t="s">
        <v>60</v>
      </c>
      <c r="C25" s="98">
        <f t="shared" si="1"/>
        <v>568.1</v>
      </c>
      <c r="D25" s="97"/>
      <c r="E25" s="82"/>
      <c r="F25" s="48"/>
    </row>
    <row r="26">
      <c r="A26" s="78" t="s">
        <v>61</v>
      </c>
      <c r="B26" s="79" t="s">
        <v>62</v>
      </c>
      <c r="C26" s="80">
        <f t="shared" si="1"/>
        <v>568.1</v>
      </c>
      <c r="D26" s="97"/>
      <c r="E26" s="82"/>
      <c r="F26" s="48"/>
    </row>
    <row r="27">
      <c r="A27" s="100" t="s">
        <v>63</v>
      </c>
      <c r="B27" s="101" t="s">
        <v>64</v>
      </c>
      <c r="C27" s="98">
        <f t="shared" si="1"/>
        <v>568.1</v>
      </c>
      <c r="D27" s="97"/>
      <c r="E27" s="82"/>
      <c r="F27" s="48"/>
    </row>
    <row r="28">
      <c r="A28" s="78" t="s">
        <v>65</v>
      </c>
      <c r="B28" s="79" t="s">
        <v>66</v>
      </c>
      <c r="C28" s="80">
        <f t="shared" si="1"/>
        <v>568.1</v>
      </c>
      <c r="D28" s="97"/>
      <c r="E28" s="82"/>
      <c r="F28" s="48"/>
    </row>
    <row r="29">
      <c r="A29" s="100" t="s">
        <v>69</v>
      </c>
      <c r="B29" s="101" t="s">
        <v>70</v>
      </c>
      <c r="C29" s="98">
        <f t="shared" si="1"/>
        <v>568.1</v>
      </c>
      <c r="D29" s="97"/>
      <c r="E29" s="82"/>
      <c r="F29" s="48"/>
    </row>
    <row r="30">
      <c r="A30" s="78" t="s">
        <v>102</v>
      </c>
      <c r="B30" s="79" t="s">
        <v>103</v>
      </c>
      <c r="C30" s="80">
        <f t="shared" si="1"/>
        <v>568.1</v>
      </c>
      <c r="D30" s="97"/>
      <c r="E30" s="82"/>
      <c r="F30" s="48"/>
    </row>
    <row r="31">
      <c r="A31" s="100" t="s">
        <v>73</v>
      </c>
      <c r="B31" s="101" t="s">
        <v>74</v>
      </c>
      <c r="C31" s="98">
        <f t="shared" si="1"/>
        <v>568.1</v>
      </c>
      <c r="D31" s="97"/>
      <c r="E31" s="82"/>
      <c r="F31" s="48"/>
    </row>
    <row r="32">
      <c r="A32" s="78" t="s">
        <v>85</v>
      </c>
      <c r="B32" s="79" t="s">
        <v>86</v>
      </c>
      <c r="C32" s="80">
        <f t="shared" si="1"/>
        <v>568.1</v>
      </c>
      <c r="D32" s="97"/>
      <c r="E32" s="82"/>
      <c r="F32" s="48"/>
    </row>
    <row r="33">
      <c r="A33" s="100" t="s">
        <v>75</v>
      </c>
      <c r="B33" s="101" t="s">
        <v>76</v>
      </c>
      <c r="C33" s="98">
        <f t="shared" si="1"/>
        <v>568.1</v>
      </c>
      <c r="D33" s="97"/>
      <c r="E33" s="82"/>
      <c r="F33" s="48"/>
    </row>
    <row r="34">
      <c r="A34" s="78" t="s">
        <v>77</v>
      </c>
      <c r="B34" s="79" t="s">
        <v>78</v>
      </c>
      <c r="C34" s="80">
        <f t="shared" si="1"/>
        <v>568.1</v>
      </c>
      <c r="D34" s="97"/>
      <c r="E34" s="82"/>
      <c r="F34" s="48"/>
    </row>
    <row r="35">
      <c r="A35" s="95">
        <v>44774.0</v>
      </c>
      <c r="B35" s="8"/>
      <c r="C35" s="58"/>
      <c r="D35" s="5"/>
      <c r="E35" s="5"/>
      <c r="F35" s="5"/>
    </row>
  </sheetData>
  <mergeCells count="29">
    <mergeCell ref="A1:D6"/>
    <mergeCell ref="E1:F1"/>
    <mergeCell ref="A8:C8"/>
    <mergeCell ref="E8:F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9:F19"/>
    <mergeCell ref="E27:F27"/>
    <mergeCell ref="E28:F28"/>
    <mergeCell ref="E29:F29"/>
    <mergeCell ref="E30:F30"/>
    <mergeCell ref="E31:F31"/>
    <mergeCell ref="E32:F32"/>
    <mergeCell ref="E33:F33"/>
    <mergeCell ref="E34:F34"/>
    <mergeCell ref="E20:F20"/>
    <mergeCell ref="E21:F21"/>
    <mergeCell ref="E22:F22"/>
    <mergeCell ref="E23:F23"/>
    <mergeCell ref="E24:F24"/>
    <mergeCell ref="E25:F25"/>
    <mergeCell ref="E26:F26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63"/>
  </cols>
  <sheetData>
    <row r="1">
      <c r="A1" s="13" t="s">
        <v>87</v>
      </c>
      <c r="E1" s="14" t="s">
        <v>3</v>
      </c>
      <c r="F1" s="15"/>
    </row>
    <row r="2">
      <c r="A2" s="19"/>
      <c r="E2" s="5"/>
      <c r="F2" s="10"/>
    </row>
    <row r="3">
      <c r="A3" s="19"/>
      <c r="E3" s="18" t="s">
        <v>6</v>
      </c>
      <c r="F3" s="26">
        <f>SUM(C10:C34)</f>
        <v>11930.1</v>
      </c>
    </row>
    <row r="4">
      <c r="A4" s="19"/>
      <c r="E4" s="31"/>
      <c r="F4" s="34"/>
    </row>
    <row r="5">
      <c r="A5" s="19"/>
      <c r="E5" s="36" t="s">
        <v>14</v>
      </c>
      <c r="F5" s="37">
        <f>F3</f>
        <v>11930.1</v>
      </c>
    </row>
    <row r="6">
      <c r="A6" s="19"/>
      <c r="E6" s="39"/>
      <c r="F6" s="10"/>
    </row>
    <row r="7">
      <c r="A7" s="40">
        <v>24.7</v>
      </c>
      <c r="B7" s="41">
        <v>21.0</v>
      </c>
      <c r="C7" s="43" t="s">
        <v>21</v>
      </c>
      <c r="D7" s="5"/>
      <c r="E7" s="5"/>
      <c r="F7" s="10"/>
    </row>
    <row r="8">
      <c r="A8" s="42" t="s">
        <v>104</v>
      </c>
      <c r="D8" s="45"/>
      <c r="E8" s="47" t="s">
        <v>24</v>
      </c>
      <c r="F8" s="48"/>
    </row>
    <row r="9">
      <c r="A9" s="49" t="s">
        <v>25</v>
      </c>
      <c r="B9" s="50" t="s">
        <v>26</v>
      </c>
      <c r="C9" s="50" t="s">
        <v>27</v>
      </c>
      <c r="D9" s="51"/>
      <c r="E9" s="54" t="s">
        <v>28</v>
      </c>
      <c r="F9" s="48"/>
    </row>
    <row r="10">
      <c r="A10" s="78" t="s">
        <v>29</v>
      </c>
      <c r="B10" s="79" t="s">
        <v>30</v>
      </c>
      <c r="C10" s="80">
        <f t="shared" ref="C10:C12" si="1">24.7*$B$7</f>
        <v>518.7</v>
      </c>
      <c r="D10" s="97"/>
      <c r="E10" s="82"/>
      <c r="F10" s="48"/>
    </row>
    <row r="11">
      <c r="A11" s="83" t="s">
        <v>31</v>
      </c>
      <c r="B11" s="84" t="s">
        <v>32</v>
      </c>
      <c r="C11" s="98">
        <f t="shared" si="1"/>
        <v>518.7</v>
      </c>
      <c r="D11" s="97"/>
      <c r="E11" s="82"/>
      <c r="F11" s="48"/>
    </row>
    <row r="12">
      <c r="A12" s="78" t="s">
        <v>33</v>
      </c>
      <c r="B12" s="79" t="s">
        <v>34</v>
      </c>
      <c r="C12" s="80">
        <f t="shared" si="1"/>
        <v>518.7</v>
      </c>
      <c r="D12" s="97"/>
      <c r="E12" s="82"/>
      <c r="F12" s="48"/>
    </row>
    <row r="13">
      <c r="A13" s="83" t="s">
        <v>35</v>
      </c>
      <c r="B13" s="84" t="s">
        <v>36</v>
      </c>
      <c r="C13" s="58">
        <v>0.0</v>
      </c>
      <c r="D13" s="97"/>
      <c r="E13" s="82" t="s">
        <v>96</v>
      </c>
      <c r="F13" s="48"/>
    </row>
    <row r="14">
      <c r="A14" s="78" t="s">
        <v>39</v>
      </c>
      <c r="B14" s="79" t="s">
        <v>40</v>
      </c>
      <c r="C14" s="80">
        <f t="shared" ref="C14:C32" si="2">24.7*$B$7</f>
        <v>518.7</v>
      </c>
      <c r="D14" s="97"/>
      <c r="E14" s="82"/>
      <c r="F14" s="48"/>
    </row>
    <row r="15">
      <c r="A15" s="83" t="s">
        <v>41</v>
      </c>
      <c r="B15" s="84" t="s">
        <v>42</v>
      </c>
      <c r="C15" s="58">
        <f t="shared" si="2"/>
        <v>518.7</v>
      </c>
      <c r="D15" s="97"/>
      <c r="E15" s="82"/>
      <c r="F15" s="48"/>
    </row>
    <row r="16">
      <c r="A16" s="78" t="s">
        <v>43</v>
      </c>
      <c r="B16" s="79" t="s">
        <v>44</v>
      </c>
      <c r="C16" s="80">
        <f t="shared" si="2"/>
        <v>518.7</v>
      </c>
      <c r="D16" s="97"/>
      <c r="E16" s="82"/>
      <c r="F16" s="48"/>
    </row>
    <row r="17">
      <c r="A17" s="83" t="s">
        <v>47</v>
      </c>
      <c r="B17" s="84" t="s">
        <v>48</v>
      </c>
      <c r="C17" s="58">
        <f t="shared" si="2"/>
        <v>518.7</v>
      </c>
      <c r="D17" s="97"/>
      <c r="E17" s="82"/>
      <c r="F17" s="48"/>
    </row>
    <row r="18">
      <c r="A18" s="85" t="s">
        <v>100</v>
      </c>
      <c r="B18" s="87" t="s">
        <v>101</v>
      </c>
      <c r="C18" s="96">
        <f t="shared" si="2"/>
        <v>518.7</v>
      </c>
      <c r="D18" s="97"/>
      <c r="E18" s="99"/>
      <c r="F18" s="99"/>
    </row>
    <row r="19">
      <c r="A19" s="100" t="s">
        <v>90</v>
      </c>
      <c r="B19" s="101" t="s">
        <v>91</v>
      </c>
      <c r="C19" s="58">
        <f t="shared" si="2"/>
        <v>518.7</v>
      </c>
      <c r="D19" s="97"/>
      <c r="E19" s="82"/>
      <c r="F19" s="48"/>
    </row>
    <row r="20">
      <c r="A20" s="85" t="s">
        <v>92</v>
      </c>
      <c r="B20" s="87" t="s">
        <v>93</v>
      </c>
      <c r="C20" s="96">
        <f t="shared" si="2"/>
        <v>518.7</v>
      </c>
      <c r="D20" s="97"/>
      <c r="E20" s="82"/>
      <c r="F20" s="48"/>
    </row>
    <row r="21">
      <c r="A21" s="100" t="s">
        <v>51</v>
      </c>
      <c r="B21" s="101" t="s">
        <v>52</v>
      </c>
      <c r="C21" s="58">
        <f t="shared" si="2"/>
        <v>518.7</v>
      </c>
      <c r="D21" s="97"/>
      <c r="E21" s="82"/>
      <c r="F21" s="48"/>
    </row>
    <row r="22">
      <c r="A22" s="78" t="s">
        <v>80</v>
      </c>
      <c r="B22" s="79" t="s">
        <v>81</v>
      </c>
      <c r="C22" s="80">
        <f t="shared" si="2"/>
        <v>518.7</v>
      </c>
      <c r="D22" s="97"/>
      <c r="E22" s="82"/>
      <c r="F22" s="48"/>
    </row>
    <row r="23">
      <c r="A23" s="100" t="s">
        <v>53</v>
      </c>
      <c r="B23" s="101" t="s">
        <v>54</v>
      </c>
      <c r="C23" s="98">
        <f t="shared" si="2"/>
        <v>518.7</v>
      </c>
      <c r="D23" s="97"/>
      <c r="E23" s="82"/>
      <c r="F23" s="48"/>
    </row>
    <row r="24">
      <c r="A24" s="78" t="s">
        <v>55</v>
      </c>
      <c r="B24" s="79" t="s">
        <v>56</v>
      </c>
      <c r="C24" s="80">
        <f t="shared" si="2"/>
        <v>518.7</v>
      </c>
      <c r="D24" s="97"/>
      <c r="E24" s="82"/>
      <c r="F24" s="48"/>
    </row>
    <row r="25">
      <c r="A25" s="100" t="s">
        <v>59</v>
      </c>
      <c r="B25" s="101" t="s">
        <v>60</v>
      </c>
      <c r="C25" s="98">
        <f t="shared" si="2"/>
        <v>518.7</v>
      </c>
      <c r="D25" s="97"/>
      <c r="E25" s="82"/>
      <c r="F25" s="48"/>
    </row>
    <row r="26">
      <c r="A26" s="78" t="s">
        <v>61</v>
      </c>
      <c r="B26" s="79" t="s">
        <v>62</v>
      </c>
      <c r="C26" s="80">
        <f t="shared" si="2"/>
        <v>518.7</v>
      </c>
      <c r="D26" s="97"/>
      <c r="E26" s="82"/>
      <c r="F26" s="48"/>
    </row>
    <row r="27">
      <c r="A27" s="100" t="s">
        <v>63</v>
      </c>
      <c r="B27" s="101" t="s">
        <v>64</v>
      </c>
      <c r="C27" s="98">
        <f t="shared" si="2"/>
        <v>518.7</v>
      </c>
      <c r="D27" s="97"/>
      <c r="E27" s="82"/>
      <c r="F27" s="48"/>
    </row>
    <row r="28">
      <c r="A28" s="78" t="s">
        <v>65</v>
      </c>
      <c r="B28" s="79" t="s">
        <v>66</v>
      </c>
      <c r="C28" s="80">
        <f t="shared" si="2"/>
        <v>518.7</v>
      </c>
      <c r="D28" s="97"/>
      <c r="E28" s="82"/>
      <c r="F28" s="48"/>
    </row>
    <row r="29">
      <c r="A29" s="100" t="s">
        <v>69</v>
      </c>
      <c r="B29" s="101" t="s">
        <v>70</v>
      </c>
      <c r="C29" s="98">
        <f t="shared" si="2"/>
        <v>518.7</v>
      </c>
      <c r="D29" s="97"/>
      <c r="E29" s="82"/>
      <c r="F29" s="48"/>
    </row>
    <row r="30">
      <c r="A30" s="78" t="s">
        <v>102</v>
      </c>
      <c r="B30" s="79" t="s">
        <v>103</v>
      </c>
      <c r="C30" s="80">
        <f t="shared" si="2"/>
        <v>518.7</v>
      </c>
      <c r="D30" s="97"/>
      <c r="E30" s="82"/>
      <c r="F30" s="48"/>
    </row>
    <row r="31">
      <c r="A31" s="100" t="s">
        <v>73</v>
      </c>
      <c r="B31" s="101" t="s">
        <v>74</v>
      </c>
      <c r="C31" s="98">
        <f t="shared" si="2"/>
        <v>518.7</v>
      </c>
      <c r="D31" s="97"/>
      <c r="E31" s="82"/>
      <c r="F31" s="48"/>
    </row>
    <row r="32">
      <c r="A32" s="78" t="s">
        <v>85</v>
      </c>
      <c r="B32" s="79" t="s">
        <v>86</v>
      </c>
      <c r="C32" s="80">
        <f t="shared" si="2"/>
        <v>518.7</v>
      </c>
      <c r="D32" s="97"/>
      <c r="E32" s="82"/>
      <c r="F32" s="48"/>
    </row>
    <row r="33">
      <c r="A33" s="100" t="s">
        <v>75</v>
      </c>
      <c r="B33" s="101" t="s">
        <v>76</v>
      </c>
      <c r="C33" s="98">
        <v>0.0</v>
      </c>
      <c r="D33" s="97"/>
      <c r="E33" s="82" t="s">
        <v>96</v>
      </c>
      <c r="F33" s="48"/>
    </row>
    <row r="34">
      <c r="A34" s="78" t="s">
        <v>77</v>
      </c>
      <c r="B34" s="79" t="s">
        <v>78</v>
      </c>
      <c r="C34" s="80">
        <f>24.7*$B$7</f>
        <v>518.7</v>
      </c>
      <c r="D34" s="97"/>
      <c r="E34" s="82"/>
      <c r="F34" s="48"/>
    </row>
    <row r="35">
      <c r="A35" s="95">
        <v>44805.0</v>
      </c>
      <c r="B35" s="8"/>
      <c r="C35" s="58"/>
      <c r="D35" s="5"/>
      <c r="E35" s="5"/>
      <c r="F35" s="5"/>
    </row>
  </sheetData>
  <mergeCells count="29">
    <mergeCell ref="A1:D6"/>
    <mergeCell ref="E1:F1"/>
    <mergeCell ref="A8:C8"/>
    <mergeCell ref="E8:F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9:F19"/>
    <mergeCell ref="E27:F27"/>
    <mergeCell ref="E28:F28"/>
    <mergeCell ref="E29:F29"/>
    <mergeCell ref="E30:F30"/>
    <mergeCell ref="E31:F31"/>
    <mergeCell ref="E32:F32"/>
    <mergeCell ref="E33:F33"/>
    <mergeCell ref="E34:F34"/>
    <mergeCell ref="E20:F20"/>
    <mergeCell ref="E21:F21"/>
    <mergeCell ref="E22:F22"/>
    <mergeCell ref="E23:F23"/>
    <mergeCell ref="E24:F24"/>
    <mergeCell ref="E25:F25"/>
    <mergeCell ref="E26:F26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63"/>
    <col customWidth="1" min="4" max="4" width="8.75"/>
  </cols>
  <sheetData>
    <row r="1">
      <c r="A1" s="13" t="s">
        <v>87</v>
      </c>
      <c r="E1" s="14" t="s">
        <v>3</v>
      </c>
      <c r="F1" s="15"/>
    </row>
    <row r="2">
      <c r="A2" s="19"/>
      <c r="E2" s="5"/>
      <c r="F2" s="10"/>
    </row>
    <row r="3">
      <c r="A3" s="19"/>
      <c r="E3" s="18" t="s">
        <v>6</v>
      </c>
      <c r="F3" s="26">
        <f>SUM(C10:C34)</f>
        <v>11213.8</v>
      </c>
    </row>
    <row r="4">
      <c r="A4" s="19"/>
      <c r="E4" s="31"/>
      <c r="F4" s="34"/>
    </row>
    <row r="5">
      <c r="A5" s="19"/>
      <c r="E5" s="36" t="s">
        <v>14</v>
      </c>
      <c r="F5" s="37">
        <f>F3</f>
        <v>11213.8</v>
      </c>
    </row>
    <row r="6">
      <c r="A6" s="19"/>
      <c r="E6" s="39"/>
      <c r="F6" s="10"/>
    </row>
    <row r="7">
      <c r="A7" s="40">
        <v>24.7</v>
      </c>
      <c r="B7" s="41">
        <v>20.0</v>
      </c>
      <c r="C7" s="43" t="s">
        <v>21</v>
      </c>
      <c r="D7" s="5"/>
      <c r="E7" s="5"/>
      <c r="F7" s="10"/>
    </row>
    <row r="8">
      <c r="A8" s="42" t="s">
        <v>105</v>
      </c>
      <c r="D8" s="45"/>
      <c r="E8" s="47" t="s">
        <v>24</v>
      </c>
      <c r="F8" s="48"/>
    </row>
    <row r="9">
      <c r="A9" s="49" t="s">
        <v>25</v>
      </c>
      <c r="B9" s="50" t="s">
        <v>26</v>
      </c>
      <c r="C9" s="50" t="s">
        <v>27</v>
      </c>
      <c r="D9" s="51"/>
      <c r="E9" s="54" t="s">
        <v>28</v>
      </c>
      <c r="F9" s="48"/>
    </row>
    <row r="10">
      <c r="A10" s="78" t="s">
        <v>29</v>
      </c>
      <c r="B10" s="79" t="s">
        <v>30</v>
      </c>
      <c r="C10" s="80">
        <f t="shared" ref="C10:C11" si="1">24.7*$B$7</f>
        <v>494</v>
      </c>
      <c r="D10" s="97"/>
      <c r="E10" s="82"/>
      <c r="F10" s="48"/>
    </row>
    <row r="11">
      <c r="A11" s="83" t="s">
        <v>31</v>
      </c>
      <c r="B11" s="84" t="s">
        <v>32</v>
      </c>
      <c r="C11" s="98">
        <f t="shared" si="1"/>
        <v>494</v>
      </c>
      <c r="D11" s="97"/>
      <c r="E11" s="82"/>
      <c r="F11" s="48"/>
    </row>
    <row r="12">
      <c r="A12" s="78" t="s">
        <v>33</v>
      </c>
      <c r="B12" s="79" t="s">
        <v>34</v>
      </c>
      <c r="C12" s="80">
        <f>A7*7</f>
        <v>172.9</v>
      </c>
      <c r="D12" s="97"/>
      <c r="E12" s="82" t="s">
        <v>106</v>
      </c>
      <c r="F12" s="48"/>
    </row>
    <row r="13">
      <c r="A13" s="83" t="s">
        <v>35</v>
      </c>
      <c r="B13" s="84" t="s">
        <v>36</v>
      </c>
      <c r="C13" s="80">
        <f t="shared" ref="C13:C16" si="2">24.7*$B$7</f>
        <v>494</v>
      </c>
      <c r="D13" s="97"/>
      <c r="E13" s="82"/>
      <c r="F13" s="48"/>
    </row>
    <row r="14">
      <c r="A14" s="78" t="s">
        <v>39</v>
      </c>
      <c r="B14" s="79" t="s">
        <v>40</v>
      </c>
      <c r="C14" s="80">
        <f t="shared" si="2"/>
        <v>494</v>
      </c>
      <c r="D14" s="97"/>
      <c r="E14" s="82"/>
      <c r="F14" s="48"/>
    </row>
    <row r="15">
      <c r="A15" s="83" t="s">
        <v>41</v>
      </c>
      <c r="B15" s="84" t="s">
        <v>42</v>
      </c>
      <c r="C15" s="58">
        <f t="shared" si="2"/>
        <v>494</v>
      </c>
      <c r="D15" s="97"/>
      <c r="E15" s="82"/>
      <c r="F15" s="48"/>
    </row>
    <row r="16">
      <c r="A16" s="78" t="s">
        <v>43</v>
      </c>
      <c r="B16" s="79" t="s">
        <v>44</v>
      </c>
      <c r="C16" s="80">
        <f t="shared" si="2"/>
        <v>494</v>
      </c>
      <c r="D16" s="97"/>
      <c r="E16" s="82"/>
      <c r="F16" s="48"/>
    </row>
    <row r="17">
      <c r="A17" s="83" t="s">
        <v>47</v>
      </c>
      <c r="B17" s="84" t="s">
        <v>48</v>
      </c>
      <c r="C17" s="58">
        <f>A7*7</f>
        <v>172.9</v>
      </c>
      <c r="D17" s="97"/>
      <c r="E17" s="82" t="s">
        <v>106</v>
      </c>
      <c r="F17" s="48"/>
    </row>
    <row r="18">
      <c r="A18" s="85" t="s">
        <v>100</v>
      </c>
      <c r="B18" s="87" t="s">
        <v>101</v>
      </c>
      <c r="C18" s="96">
        <f t="shared" ref="C18:C27" si="3">24.7*$B$7</f>
        <v>494</v>
      </c>
      <c r="D18" s="97"/>
      <c r="E18" s="99"/>
      <c r="F18" s="99"/>
    </row>
    <row r="19">
      <c r="A19" s="100" t="s">
        <v>90</v>
      </c>
      <c r="B19" s="101" t="s">
        <v>91</v>
      </c>
      <c r="C19" s="58">
        <f t="shared" si="3"/>
        <v>494</v>
      </c>
      <c r="D19" s="97"/>
      <c r="E19" s="82"/>
      <c r="F19" s="48"/>
    </row>
    <row r="20">
      <c r="A20" s="85" t="s">
        <v>92</v>
      </c>
      <c r="B20" s="87" t="s">
        <v>93</v>
      </c>
      <c r="C20" s="96">
        <f t="shared" si="3"/>
        <v>494</v>
      </c>
      <c r="D20" s="97"/>
      <c r="E20" s="82"/>
      <c r="F20" s="48"/>
    </row>
    <row r="21">
      <c r="A21" s="100" t="s">
        <v>51</v>
      </c>
      <c r="B21" s="101" t="s">
        <v>52</v>
      </c>
      <c r="C21" s="58">
        <f t="shared" si="3"/>
        <v>494</v>
      </c>
      <c r="D21" s="97"/>
      <c r="E21" s="82"/>
      <c r="F21" s="48"/>
    </row>
    <row r="22">
      <c r="A22" s="78" t="s">
        <v>80</v>
      </c>
      <c r="B22" s="79" t="s">
        <v>81</v>
      </c>
      <c r="C22" s="80">
        <f t="shared" si="3"/>
        <v>494</v>
      </c>
      <c r="D22" s="97"/>
      <c r="E22" s="82"/>
      <c r="F22" s="48"/>
    </row>
    <row r="23">
      <c r="A23" s="100" t="s">
        <v>53</v>
      </c>
      <c r="B23" s="101" t="s">
        <v>54</v>
      </c>
      <c r="C23" s="98">
        <f t="shared" si="3"/>
        <v>494</v>
      </c>
      <c r="D23" s="97"/>
      <c r="E23" s="82"/>
      <c r="F23" s="48"/>
    </row>
    <row r="24">
      <c r="A24" s="78" t="s">
        <v>55</v>
      </c>
      <c r="B24" s="79" t="s">
        <v>56</v>
      </c>
      <c r="C24" s="80">
        <f t="shared" si="3"/>
        <v>494</v>
      </c>
      <c r="D24" s="97"/>
      <c r="E24" s="82"/>
      <c r="F24" s="48"/>
    </row>
    <row r="25">
      <c r="A25" s="100" t="s">
        <v>59</v>
      </c>
      <c r="B25" s="101" t="s">
        <v>60</v>
      </c>
      <c r="C25" s="98">
        <f t="shared" si="3"/>
        <v>494</v>
      </c>
      <c r="D25" s="97"/>
      <c r="E25" s="82"/>
      <c r="F25" s="48"/>
    </row>
    <row r="26">
      <c r="A26" s="78" t="s">
        <v>61</v>
      </c>
      <c r="B26" s="79" t="s">
        <v>62</v>
      </c>
      <c r="C26" s="80">
        <f t="shared" si="3"/>
        <v>494</v>
      </c>
      <c r="D26" s="97"/>
      <c r="E26" s="82"/>
      <c r="F26" s="48"/>
    </row>
    <row r="27">
      <c r="A27" s="100" t="s">
        <v>63</v>
      </c>
      <c r="B27" s="101" t="s">
        <v>64</v>
      </c>
      <c r="C27" s="98">
        <f t="shared" si="3"/>
        <v>494</v>
      </c>
      <c r="D27" s="97"/>
      <c r="E27" s="82"/>
      <c r="F27" s="48"/>
    </row>
    <row r="28">
      <c r="A28" s="78" t="s">
        <v>65</v>
      </c>
      <c r="B28" s="79" t="s">
        <v>66</v>
      </c>
      <c r="C28" s="80">
        <v>0.0</v>
      </c>
      <c r="D28" s="97"/>
      <c r="E28" s="82" t="s">
        <v>96</v>
      </c>
      <c r="F28" s="48"/>
    </row>
    <row r="29">
      <c r="A29" s="100" t="s">
        <v>69</v>
      </c>
      <c r="B29" s="101" t="s">
        <v>70</v>
      </c>
      <c r="C29" s="98">
        <f t="shared" ref="C29:C34" si="4">24.7*$B$7</f>
        <v>494</v>
      </c>
      <c r="D29" s="97"/>
      <c r="E29" s="82"/>
      <c r="F29" s="48"/>
    </row>
    <row r="30">
      <c r="A30" s="78" t="s">
        <v>102</v>
      </c>
      <c r="B30" s="79" t="s">
        <v>103</v>
      </c>
      <c r="C30" s="80">
        <f t="shared" si="4"/>
        <v>494</v>
      </c>
      <c r="D30" s="97"/>
      <c r="E30" s="82"/>
      <c r="F30" s="48"/>
    </row>
    <row r="31">
      <c r="A31" s="100" t="s">
        <v>73</v>
      </c>
      <c r="B31" s="101" t="s">
        <v>74</v>
      </c>
      <c r="C31" s="98">
        <f t="shared" si="4"/>
        <v>494</v>
      </c>
      <c r="D31" s="97"/>
      <c r="E31" s="82"/>
      <c r="F31" s="48"/>
    </row>
    <row r="32">
      <c r="A32" s="78" t="s">
        <v>85</v>
      </c>
      <c r="B32" s="79" t="s">
        <v>86</v>
      </c>
      <c r="C32" s="80">
        <f t="shared" si="4"/>
        <v>494</v>
      </c>
      <c r="D32" s="97"/>
      <c r="E32" s="82"/>
      <c r="F32" s="48"/>
    </row>
    <row r="33">
      <c r="A33" s="100" t="s">
        <v>75</v>
      </c>
      <c r="B33" s="101" t="s">
        <v>76</v>
      </c>
      <c r="C33" s="80">
        <f t="shared" si="4"/>
        <v>494</v>
      </c>
      <c r="D33" s="97"/>
      <c r="E33" s="82"/>
      <c r="F33" s="48"/>
    </row>
    <row r="34">
      <c r="A34" s="78" t="s">
        <v>77</v>
      </c>
      <c r="B34" s="79" t="s">
        <v>78</v>
      </c>
      <c r="C34" s="80">
        <f t="shared" si="4"/>
        <v>494</v>
      </c>
      <c r="D34" s="97"/>
      <c r="E34" s="82"/>
      <c r="F34" s="48"/>
    </row>
    <row r="35">
      <c r="A35" s="95">
        <v>44837.0</v>
      </c>
      <c r="B35" s="8"/>
      <c r="C35" s="58"/>
      <c r="D35" s="5"/>
      <c r="E35" s="5"/>
      <c r="F35" s="5"/>
    </row>
  </sheetData>
  <mergeCells count="29">
    <mergeCell ref="A1:D6"/>
    <mergeCell ref="E1:F1"/>
    <mergeCell ref="A8:C8"/>
    <mergeCell ref="E8:F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9:F19"/>
    <mergeCell ref="E27:F27"/>
    <mergeCell ref="E28:F28"/>
    <mergeCell ref="E29:F29"/>
    <mergeCell ref="E30:F30"/>
    <mergeCell ref="E31:F31"/>
    <mergeCell ref="E32:F32"/>
    <mergeCell ref="E33:F33"/>
    <mergeCell ref="E34:F34"/>
    <mergeCell ref="E20:F20"/>
    <mergeCell ref="E21:F21"/>
    <mergeCell ref="E22:F22"/>
    <mergeCell ref="E23:F23"/>
    <mergeCell ref="E24:F24"/>
    <mergeCell ref="E25:F25"/>
    <mergeCell ref="E26:F26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63"/>
    <col customWidth="1" min="4" max="4" width="8.75"/>
  </cols>
  <sheetData>
    <row r="1">
      <c r="A1" s="13" t="s">
        <v>87</v>
      </c>
      <c r="E1" s="14" t="s">
        <v>3</v>
      </c>
      <c r="F1" s="15"/>
    </row>
    <row r="2">
      <c r="A2" s="19"/>
      <c r="E2" s="5"/>
      <c r="F2" s="10"/>
    </row>
    <row r="3">
      <c r="A3" s="19"/>
      <c r="E3" s="18"/>
      <c r="F3" s="26">
        <f>SUM(C10:C34)</f>
        <v>11856</v>
      </c>
    </row>
    <row r="4">
      <c r="A4" s="19"/>
      <c r="E4" s="31"/>
      <c r="F4" s="34"/>
    </row>
    <row r="5">
      <c r="A5" s="19"/>
      <c r="E5" s="36" t="s">
        <v>14</v>
      </c>
      <c r="F5" s="37">
        <f>F3</f>
        <v>11856</v>
      </c>
    </row>
    <row r="6">
      <c r="A6" s="19"/>
      <c r="E6" s="39"/>
      <c r="F6" s="10"/>
    </row>
    <row r="7">
      <c r="A7" s="40">
        <v>24.7</v>
      </c>
      <c r="B7" s="41">
        <v>20.0</v>
      </c>
      <c r="C7" s="43" t="s">
        <v>21</v>
      </c>
      <c r="D7" s="5"/>
      <c r="E7" s="5"/>
      <c r="F7" s="10"/>
    </row>
    <row r="8">
      <c r="A8" s="42" t="s">
        <v>107</v>
      </c>
      <c r="D8" s="45"/>
      <c r="E8" s="47" t="s">
        <v>24</v>
      </c>
      <c r="F8" s="48"/>
    </row>
    <row r="9">
      <c r="A9" s="49" t="s">
        <v>25</v>
      </c>
      <c r="B9" s="50" t="s">
        <v>26</v>
      </c>
      <c r="C9" s="50" t="s">
        <v>27</v>
      </c>
      <c r="D9" s="51"/>
      <c r="E9" s="54" t="s">
        <v>28</v>
      </c>
      <c r="F9" s="48"/>
    </row>
    <row r="10">
      <c r="A10" s="78" t="s">
        <v>29</v>
      </c>
      <c r="B10" s="79" t="s">
        <v>30</v>
      </c>
      <c r="C10" s="80">
        <f t="shared" ref="C10:C14" si="1">24.7*$B$7</f>
        <v>494</v>
      </c>
      <c r="D10" s="97"/>
      <c r="E10" s="82"/>
      <c r="F10" s="48"/>
    </row>
    <row r="11">
      <c r="A11" s="83" t="s">
        <v>31</v>
      </c>
      <c r="B11" s="84" t="s">
        <v>32</v>
      </c>
      <c r="C11" s="98">
        <f t="shared" si="1"/>
        <v>494</v>
      </c>
      <c r="D11" s="97"/>
      <c r="E11" s="82"/>
      <c r="F11" s="48"/>
    </row>
    <row r="12">
      <c r="A12" s="78" t="s">
        <v>33</v>
      </c>
      <c r="B12" s="79" t="s">
        <v>34</v>
      </c>
      <c r="C12" s="96">
        <f t="shared" si="1"/>
        <v>494</v>
      </c>
      <c r="D12" s="97"/>
      <c r="E12" s="82"/>
      <c r="F12" s="48"/>
    </row>
    <row r="13">
      <c r="A13" s="83" t="s">
        <v>35</v>
      </c>
      <c r="B13" s="84" t="s">
        <v>36</v>
      </c>
      <c r="C13" s="102">
        <f t="shared" si="1"/>
        <v>494</v>
      </c>
      <c r="D13" s="97"/>
      <c r="E13" s="82"/>
      <c r="F13" s="48"/>
    </row>
    <row r="14">
      <c r="A14" s="78" t="s">
        <v>39</v>
      </c>
      <c r="B14" s="79" t="s">
        <v>40</v>
      </c>
      <c r="C14" s="80">
        <f t="shared" si="1"/>
        <v>494</v>
      </c>
      <c r="D14" s="97"/>
      <c r="E14" s="82"/>
      <c r="F14" s="48"/>
    </row>
    <row r="15">
      <c r="A15" s="83" t="s">
        <v>41</v>
      </c>
      <c r="B15" s="84" t="s">
        <v>42</v>
      </c>
      <c r="C15" s="58">
        <v>0.0</v>
      </c>
      <c r="D15" s="97"/>
      <c r="E15" s="82" t="s">
        <v>108</v>
      </c>
      <c r="F15" s="48"/>
    </row>
    <row r="16">
      <c r="A16" s="78" t="s">
        <v>43</v>
      </c>
      <c r="B16" s="79" t="s">
        <v>44</v>
      </c>
      <c r="C16" s="80">
        <f t="shared" ref="C16:C34" si="2">24.7*$B$7</f>
        <v>494</v>
      </c>
      <c r="D16" s="97"/>
      <c r="E16" s="82"/>
      <c r="F16" s="48"/>
    </row>
    <row r="17">
      <c r="A17" s="83" t="s">
        <v>47</v>
      </c>
      <c r="B17" s="84" t="s">
        <v>48</v>
      </c>
      <c r="C17" s="102">
        <f t="shared" si="2"/>
        <v>494</v>
      </c>
      <c r="D17" s="97"/>
      <c r="E17" s="82"/>
      <c r="F17" s="48"/>
    </row>
    <row r="18">
      <c r="A18" s="85" t="s">
        <v>100</v>
      </c>
      <c r="B18" s="87" t="s">
        <v>101</v>
      </c>
      <c r="C18" s="80">
        <f t="shared" si="2"/>
        <v>494</v>
      </c>
      <c r="D18" s="97"/>
      <c r="E18" s="99"/>
      <c r="F18" s="99"/>
    </row>
    <row r="19">
      <c r="A19" s="100" t="s">
        <v>90</v>
      </c>
      <c r="B19" s="101" t="s">
        <v>91</v>
      </c>
      <c r="C19" s="58">
        <f t="shared" si="2"/>
        <v>494</v>
      </c>
      <c r="D19" s="97"/>
      <c r="E19" s="82"/>
      <c r="F19" s="48"/>
    </row>
    <row r="20">
      <c r="A20" s="85" t="s">
        <v>92</v>
      </c>
      <c r="B20" s="87" t="s">
        <v>93</v>
      </c>
      <c r="C20" s="96">
        <f t="shared" si="2"/>
        <v>494</v>
      </c>
      <c r="D20" s="97"/>
      <c r="E20" s="82"/>
      <c r="F20" s="48"/>
    </row>
    <row r="21">
      <c r="A21" s="100" t="s">
        <v>51</v>
      </c>
      <c r="B21" s="101" t="s">
        <v>52</v>
      </c>
      <c r="C21" s="58">
        <f t="shared" si="2"/>
        <v>494</v>
      </c>
      <c r="D21" s="97"/>
      <c r="E21" s="82"/>
      <c r="F21" s="48"/>
    </row>
    <row r="22">
      <c r="A22" s="78" t="s">
        <v>80</v>
      </c>
      <c r="B22" s="79" t="s">
        <v>81</v>
      </c>
      <c r="C22" s="80">
        <f t="shared" si="2"/>
        <v>494</v>
      </c>
      <c r="D22" s="97"/>
      <c r="E22" s="82"/>
      <c r="F22" s="48"/>
    </row>
    <row r="23">
      <c r="A23" s="100" t="s">
        <v>53</v>
      </c>
      <c r="B23" s="101" t="s">
        <v>54</v>
      </c>
      <c r="C23" s="98">
        <f t="shared" si="2"/>
        <v>494</v>
      </c>
      <c r="D23" s="97"/>
      <c r="E23" s="82"/>
      <c r="F23" s="48"/>
    </row>
    <row r="24">
      <c r="A24" s="78" t="s">
        <v>55</v>
      </c>
      <c r="B24" s="79" t="s">
        <v>56</v>
      </c>
      <c r="C24" s="80">
        <f t="shared" si="2"/>
        <v>494</v>
      </c>
      <c r="D24" s="97"/>
      <c r="E24" s="82"/>
      <c r="F24" s="48"/>
    </row>
    <row r="25">
      <c r="A25" s="100" t="s">
        <v>59</v>
      </c>
      <c r="B25" s="101" t="s">
        <v>60</v>
      </c>
      <c r="C25" s="98">
        <f t="shared" si="2"/>
        <v>494</v>
      </c>
      <c r="D25" s="97"/>
      <c r="E25" s="82"/>
      <c r="F25" s="48"/>
    </row>
    <row r="26">
      <c r="A26" s="78" t="s">
        <v>61</v>
      </c>
      <c r="B26" s="79" t="s">
        <v>62</v>
      </c>
      <c r="C26" s="80">
        <f t="shared" si="2"/>
        <v>494</v>
      </c>
      <c r="D26" s="97"/>
      <c r="E26" s="82"/>
      <c r="F26" s="48"/>
    </row>
    <row r="27">
      <c r="A27" s="100" t="s">
        <v>63</v>
      </c>
      <c r="B27" s="101" t="s">
        <v>64</v>
      </c>
      <c r="C27" s="98">
        <f t="shared" si="2"/>
        <v>494</v>
      </c>
      <c r="D27" s="97"/>
      <c r="E27" s="82"/>
      <c r="F27" s="48"/>
    </row>
    <row r="28">
      <c r="A28" s="78" t="s">
        <v>65</v>
      </c>
      <c r="B28" s="79" t="s">
        <v>66</v>
      </c>
      <c r="C28" s="96">
        <f t="shared" si="2"/>
        <v>494</v>
      </c>
      <c r="D28" s="97"/>
      <c r="E28" s="82"/>
      <c r="F28" s="48"/>
    </row>
    <row r="29">
      <c r="A29" s="100" t="s">
        <v>69</v>
      </c>
      <c r="B29" s="101" t="s">
        <v>70</v>
      </c>
      <c r="C29" s="98">
        <f t="shared" si="2"/>
        <v>494</v>
      </c>
      <c r="D29" s="97"/>
      <c r="E29" s="82"/>
      <c r="F29" s="48"/>
    </row>
    <row r="30">
      <c r="A30" s="78" t="s">
        <v>102</v>
      </c>
      <c r="B30" s="79" t="s">
        <v>103</v>
      </c>
      <c r="C30" s="80">
        <f t="shared" si="2"/>
        <v>494</v>
      </c>
      <c r="D30" s="97"/>
      <c r="E30" s="82"/>
      <c r="F30" s="48"/>
    </row>
    <row r="31">
      <c r="A31" s="100" t="s">
        <v>73</v>
      </c>
      <c r="B31" s="101" t="s">
        <v>74</v>
      </c>
      <c r="C31" s="98">
        <f t="shared" si="2"/>
        <v>494</v>
      </c>
      <c r="D31" s="97"/>
      <c r="E31" s="82"/>
      <c r="F31" s="48"/>
    </row>
    <row r="32">
      <c r="A32" s="78" t="s">
        <v>85</v>
      </c>
      <c r="B32" s="79" t="s">
        <v>86</v>
      </c>
      <c r="C32" s="80">
        <f t="shared" si="2"/>
        <v>494</v>
      </c>
      <c r="D32" s="97"/>
      <c r="E32" s="82"/>
      <c r="F32" s="48"/>
    </row>
    <row r="33">
      <c r="A33" s="100" t="s">
        <v>75</v>
      </c>
      <c r="B33" s="101" t="s">
        <v>76</v>
      </c>
      <c r="C33" s="102">
        <f t="shared" si="2"/>
        <v>494</v>
      </c>
      <c r="D33" s="97"/>
      <c r="E33" s="82"/>
      <c r="F33" s="48"/>
    </row>
    <row r="34">
      <c r="A34" s="78" t="s">
        <v>77</v>
      </c>
      <c r="B34" s="79" t="s">
        <v>78</v>
      </c>
      <c r="C34" s="80">
        <f t="shared" si="2"/>
        <v>494</v>
      </c>
      <c r="D34" s="97"/>
      <c r="E34" s="82"/>
      <c r="F34" s="48"/>
    </row>
    <row r="35">
      <c r="A35" s="95">
        <v>44866.0</v>
      </c>
      <c r="B35" s="8"/>
      <c r="C35" s="58"/>
      <c r="D35" s="5"/>
      <c r="E35" s="5"/>
      <c r="F35" s="5"/>
    </row>
  </sheetData>
  <mergeCells count="29">
    <mergeCell ref="A1:D6"/>
    <mergeCell ref="E1:F1"/>
    <mergeCell ref="A8:C8"/>
    <mergeCell ref="E8:F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9:F19"/>
    <mergeCell ref="E27:F27"/>
    <mergeCell ref="E28:F28"/>
    <mergeCell ref="E29:F29"/>
    <mergeCell ref="E30:F30"/>
    <mergeCell ref="E31:F31"/>
    <mergeCell ref="E32:F32"/>
    <mergeCell ref="E33:F33"/>
    <mergeCell ref="E34:F34"/>
    <mergeCell ref="E20:F20"/>
    <mergeCell ref="E21:F21"/>
    <mergeCell ref="E22:F22"/>
    <mergeCell ref="E23:F23"/>
    <mergeCell ref="E24:F24"/>
    <mergeCell ref="E25:F25"/>
    <mergeCell ref="E26:F26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63"/>
    <col customWidth="1" min="4" max="4" width="8.75"/>
  </cols>
  <sheetData>
    <row r="1">
      <c r="A1" s="13" t="s">
        <v>87</v>
      </c>
      <c r="E1" s="14" t="s">
        <v>3</v>
      </c>
      <c r="F1" s="15"/>
    </row>
    <row r="2">
      <c r="A2" s="19"/>
      <c r="E2" s="5"/>
      <c r="F2" s="10"/>
    </row>
    <row r="3">
      <c r="A3" s="19"/>
      <c r="E3" s="18"/>
      <c r="F3" s="26">
        <f>SUM(C10:C33)</f>
        <v>12053.6</v>
      </c>
    </row>
    <row r="4">
      <c r="A4" s="19"/>
      <c r="E4" s="31"/>
      <c r="F4" s="34"/>
    </row>
    <row r="5">
      <c r="A5" s="19"/>
      <c r="E5" s="36" t="s">
        <v>14</v>
      </c>
      <c r="F5" s="37">
        <f>F3</f>
        <v>12053.6</v>
      </c>
    </row>
    <row r="6">
      <c r="A6" s="19"/>
      <c r="E6" s="39"/>
      <c r="F6" s="10"/>
    </row>
    <row r="7">
      <c r="A7" s="40">
        <v>24.7</v>
      </c>
      <c r="B7" s="41">
        <v>22.0</v>
      </c>
      <c r="C7" s="43" t="s">
        <v>21</v>
      </c>
      <c r="D7" s="5"/>
      <c r="E7" s="5"/>
      <c r="F7" s="10"/>
    </row>
    <row r="8">
      <c r="A8" s="42" t="s">
        <v>109</v>
      </c>
      <c r="D8" s="45"/>
      <c r="E8" s="47" t="s">
        <v>24</v>
      </c>
      <c r="F8" s="48"/>
    </row>
    <row r="9">
      <c r="A9" s="49" t="s">
        <v>25</v>
      </c>
      <c r="B9" s="50" t="s">
        <v>26</v>
      </c>
      <c r="C9" s="50" t="s">
        <v>27</v>
      </c>
      <c r="D9" s="51"/>
      <c r="E9" s="54" t="s">
        <v>28</v>
      </c>
      <c r="F9" s="48"/>
    </row>
    <row r="10">
      <c r="A10" s="78" t="s">
        <v>29</v>
      </c>
      <c r="B10" s="79" t="s">
        <v>30</v>
      </c>
      <c r="C10" s="80">
        <f t="shared" ref="C10:C14" si="1">24.7*$B$7</f>
        <v>543.4</v>
      </c>
      <c r="D10" s="97"/>
      <c r="E10" s="82"/>
      <c r="F10" s="48"/>
    </row>
    <row r="11">
      <c r="A11" s="83" t="s">
        <v>31</v>
      </c>
      <c r="B11" s="84" t="s">
        <v>32</v>
      </c>
      <c r="C11" s="98">
        <f t="shared" si="1"/>
        <v>543.4</v>
      </c>
      <c r="D11" s="97"/>
      <c r="E11" s="82"/>
      <c r="F11" s="48"/>
    </row>
    <row r="12">
      <c r="A12" s="78" t="s">
        <v>33</v>
      </c>
      <c r="B12" s="79" t="s">
        <v>34</v>
      </c>
      <c r="C12" s="96">
        <f t="shared" si="1"/>
        <v>543.4</v>
      </c>
      <c r="D12" s="97"/>
      <c r="E12" s="82"/>
      <c r="F12" s="48"/>
    </row>
    <row r="13">
      <c r="A13" s="83" t="s">
        <v>35</v>
      </c>
      <c r="B13" s="84" t="s">
        <v>36</v>
      </c>
      <c r="C13" s="102">
        <f t="shared" si="1"/>
        <v>543.4</v>
      </c>
      <c r="D13" s="97"/>
      <c r="E13" s="82"/>
      <c r="F13" s="48"/>
    </row>
    <row r="14">
      <c r="A14" s="78" t="s">
        <v>39</v>
      </c>
      <c r="B14" s="79" t="s">
        <v>40</v>
      </c>
      <c r="C14" s="80">
        <f t="shared" si="1"/>
        <v>543.4</v>
      </c>
      <c r="D14" s="97"/>
      <c r="E14" s="82"/>
      <c r="F14" s="48"/>
    </row>
    <row r="15">
      <c r="A15" s="83" t="s">
        <v>41</v>
      </c>
      <c r="B15" s="84" t="s">
        <v>42</v>
      </c>
      <c r="C15" s="58">
        <v>0.0</v>
      </c>
      <c r="D15" s="97"/>
      <c r="E15" s="82" t="s">
        <v>108</v>
      </c>
      <c r="F15" s="48"/>
    </row>
    <row r="16">
      <c r="A16" s="78" t="s">
        <v>43</v>
      </c>
      <c r="B16" s="79" t="s">
        <v>44</v>
      </c>
      <c r="C16" s="80">
        <f>24.7*$B$7</f>
        <v>543.4</v>
      </c>
      <c r="D16" s="97"/>
      <c r="E16" s="82"/>
      <c r="F16" s="48"/>
    </row>
    <row r="17">
      <c r="A17" s="83" t="s">
        <v>47</v>
      </c>
      <c r="B17" s="84" t="s">
        <v>48</v>
      </c>
      <c r="C17" s="102">
        <v>642.2</v>
      </c>
      <c r="D17" s="97"/>
      <c r="E17" s="82"/>
      <c r="F17" s="48"/>
    </row>
    <row r="18">
      <c r="A18" s="85" t="s">
        <v>100</v>
      </c>
      <c r="B18" s="87" t="s">
        <v>101</v>
      </c>
      <c r="C18" s="80">
        <f t="shared" ref="C18:C22" si="2">24.7*$B$7</f>
        <v>543.4</v>
      </c>
      <c r="D18" s="97"/>
      <c r="E18" s="99"/>
      <c r="F18" s="99"/>
      <c r="H18" s="103" t="str">
        <f>H177</f>
        <v/>
      </c>
    </row>
    <row r="19">
      <c r="A19" s="100" t="s">
        <v>90</v>
      </c>
      <c r="B19" s="101" t="s">
        <v>91</v>
      </c>
      <c r="C19" s="58">
        <f t="shared" si="2"/>
        <v>543.4</v>
      </c>
      <c r="D19" s="97"/>
      <c r="E19" s="82"/>
      <c r="F19" s="48"/>
    </row>
    <row r="20">
      <c r="A20" s="85" t="s">
        <v>92</v>
      </c>
      <c r="B20" s="87" t="s">
        <v>93</v>
      </c>
      <c r="C20" s="96">
        <f t="shared" si="2"/>
        <v>543.4</v>
      </c>
      <c r="D20" s="97"/>
      <c r="E20" s="82"/>
      <c r="F20" s="48"/>
    </row>
    <row r="21">
      <c r="A21" s="100" t="s">
        <v>51</v>
      </c>
      <c r="B21" s="101" t="s">
        <v>52</v>
      </c>
      <c r="C21" s="58">
        <f t="shared" si="2"/>
        <v>543.4</v>
      </c>
      <c r="D21" s="97"/>
      <c r="E21" s="82"/>
      <c r="F21" s="48"/>
    </row>
    <row r="22">
      <c r="A22" s="78" t="s">
        <v>80</v>
      </c>
      <c r="B22" s="79" t="s">
        <v>81</v>
      </c>
      <c r="C22" s="80">
        <f t="shared" si="2"/>
        <v>543.4</v>
      </c>
      <c r="D22" s="97"/>
      <c r="E22" s="82"/>
      <c r="F22" s="48"/>
    </row>
    <row r="23">
      <c r="A23" s="100" t="s">
        <v>53</v>
      </c>
      <c r="B23" s="101" t="s">
        <v>54</v>
      </c>
      <c r="C23" s="98">
        <v>0.0</v>
      </c>
      <c r="D23" s="97"/>
      <c r="E23" s="82" t="s">
        <v>110</v>
      </c>
      <c r="F23" s="48"/>
    </row>
    <row r="24">
      <c r="A24" s="78" t="s">
        <v>55</v>
      </c>
      <c r="B24" s="79" t="s">
        <v>56</v>
      </c>
      <c r="C24" s="80">
        <f t="shared" ref="C24:C33" si="3">24.7*$B$7</f>
        <v>543.4</v>
      </c>
      <c r="D24" s="97"/>
      <c r="E24" s="82"/>
      <c r="F24" s="48"/>
    </row>
    <row r="25">
      <c r="A25" s="100" t="s">
        <v>59</v>
      </c>
      <c r="B25" s="101" t="s">
        <v>60</v>
      </c>
      <c r="C25" s="98">
        <f t="shared" si="3"/>
        <v>543.4</v>
      </c>
      <c r="D25" s="97"/>
      <c r="E25" s="82"/>
      <c r="F25" s="48"/>
    </row>
    <row r="26">
      <c r="A26" s="78" t="s">
        <v>61</v>
      </c>
      <c r="B26" s="79" t="s">
        <v>62</v>
      </c>
      <c r="C26" s="80">
        <f t="shared" si="3"/>
        <v>543.4</v>
      </c>
      <c r="D26" s="97"/>
      <c r="E26" s="82"/>
      <c r="F26" s="48"/>
    </row>
    <row r="27">
      <c r="A27" s="100" t="s">
        <v>63</v>
      </c>
      <c r="B27" s="101" t="s">
        <v>64</v>
      </c>
      <c r="C27" s="98">
        <f t="shared" si="3"/>
        <v>543.4</v>
      </c>
      <c r="D27" s="97"/>
      <c r="E27" s="82"/>
      <c r="F27" s="48"/>
    </row>
    <row r="28">
      <c r="A28" s="100" t="s">
        <v>69</v>
      </c>
      <c r="B28" s="101" t="s">
        <v>70</v>
      </c>
      <c r="C28" s="98">
        <f t="shared" si="3"/>
        <v>543.4</v>
      </c>
      <c r="D28" s="97"/>
      <c r="E28" s="82"/>
      <c r="F28" s="48"/>
    </row>
    <row r="29">
      <c r="A29" s="78" t="s">
        <v>102</v>
      </c>
      <c r="B29" s="79" t="s">
        <v>103</v>
      </c>
      <c r="C29" s="80">
        <f t="shared" si="3"/>
        <v>543.4</v>
      </c>
      <c r="D29" s="97"/>
      <c r="E29" s="82"/>
      <c r="F29" s="48"/>
    </row>
    <row r="30">
      <c r="A30" s="100" t="s">
        <v>73</v>
      </c>
      <c r="B30" s="101" t="s">
        <v>74</v>
      </c>
      <c r="C30" s="98">
        <f t="shared" si="3"/>
        <v>543.4</v>
      </c>
      <c r="D30" s="97"/>
      <c r="E30" s="82"/>
      <c r="F30" s="48"/>
    </row>
    <row r="31">
      <c r="A31" s="78" t="s">
        <v>85</v>
      </c>
      <c r="B31" s="79" t="s">
        <v>86</v>
      </c>
      <c r="C31" s="80">
        <f t="shared" si="3"/>
        <v>543.4</v>
      </c>
      <c r="D31" s="97"/>
      <c r="E31" s="82"/>
      <c r="F31" s="48"/>
    </row>
    <row r="32">
      <c r="A32" s="100" t="s">
        <v>75</v>
      </c>
      <c r="B32" s="101" t="s">
        <v>76</v>
      </c>
      <c r="C32" s="102">
        <f t="shared" si="3"/>
        <v>543.4</v>
      </c>
      <c r="D32" s="97"/>
      <c r="E32" s="82"/>
      <c r="F32" s="48"/>
    </row>
    <row r="33">
      <c r="A33" s="78" t="s">
        <v>77</v>
      </c>
      <c r="B33" s="79" t="s">
        <v>78</v>
      </c>
      <c r="C33" s="80">
        <f t="shared" si="3"/>
        <v>543.4</v>
      </c>
      <c r="D33" s="97"/>
      <c r="E33" s="82"/>
      <c r="F33" s="48"/>
    </row>
    <row r="34">
      <c r="A34" s="95">
        <v>44896.0</v>
      </c>
      <c r="B34" s="8"/>
      <c r="C34" s="58"/>
      <c r="D34" s="5"/>
      <c r="E34" s="5"/>
      <c r="F34" s="5"/>
    </row>
  </sheetData>
  <mergeCells count="28">
    <mergeCell ref="A1:D6"/>
    <mergeCell ref="E1:F1"/>
    <mergeCell ref="A8:C8"/>
    <mergeCell ref="E8:F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9:F19"/>
    <mergeCell ref="E27:F27"/>
    <mergeCell ref="E28:F28"/>
    <mergeCell ref="E29:F29"/>
    <mergeCell ref="E30:F30"/>
    <mergeCell ref="E31:F31"/>
    <mergeCell ref="E32:F32"/>
    <mergeCell ref="E33:F33"/>
    <mergeCell ref="E20:F20"/>
    <mergeCell ref="E21:F21"/>
    <mergeCell ref="E22:F22"/>
    <mergeCell ref="E23:F23"/>
    <mergeCell ref="E24:F24"/>
    <mergeCell ref="E25:F25"/>
    <mergeCell ref="E26:F26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63"/>
    <col customWidth="1" min="4" max="4" width="8.75"/>
  </cols>
  <sheetData>
    <row r="1">
      <c r="A1" s="13" t="s">
        <v>87</v>
      </c>
      <c r="E1" s="14" t="s">
        <v>3</v>
      </c>
      <c r="F1" s="15"/>
    </row>
    <row r="2">
      <c r="A2" s="19"/>
      <c r="E2" s="5"/>
      <c r="F2" s="10"/>
    </row>
    <row r="3">
      <c r="A3" s="19"/>
      <c r="E3" s="18"/>
      <c r="F3" s="26">
        <f>SUM(C10:C31)</f>
        <v>10374</v>
      </c>
    </row>
    <row r="4">
      <c r="A4" s="19"/>
      <c r="E4" s="31"/>
      <c r="F4" s="34"/>
    </row>
    <row r="5">
      <c r="A5" s="19"/>
      <c r="E5" s="36" t="s">
        <v>14</v>
      </c>
      <c r="F5" s="37">
        <f>F3</f>
        <v>10374</v>
      </c>
    </row>
    <row r="6">
      <c r="A6" s="19"/>
      <c r="E6" s="39"/>
      <c r="F6" s="10"/>
    </row>
    <row r="7">
      <c r="A7" s="40">
        <v>24.7</v>
      </c>
      <c r="B7" s="41">
        <v>21.0</v>
      </c>
      <c r="C7" s="43" t="s">
        <v>21</v>
      </c>
      <c r="D7" s="5"/>
      <c r="E7" s="5"/>
      <c r="F7" s="10"/>
    </row>
    <row r="8">
      <c r="A8" s="42" t="s">
        <v>111</v>
      </c>
      <c r="D8" s="45"/>
      <c r="E8" s="47" t="s">
        <v>24</v>
      </c>
      <c r="F8" s="48"/>
    </row>
    <row r="9">
      <c r="A9" s="49" t="s">
        <v>25</v>
      </c>
      <c r="B9" s="50" t="s">
        <v>26</v>
      </c>
      <c r="C9" s="50" t="s">
        <v>27</v>
      </c>
      <c r="D9" s="51"/>
      <c r="E9" s="54" t="s">
        <v>28</v>
      </c>
      <c r="F9" s="48"/>
    </row>
    <row r="10">
      <c r="A10" s="78" t="s">
        <v>29</v>
      </c>
      <c r="B10" s="79" t="s">
        <v>30</v>
      </c>
      <c r="C10" s="80">
        <f t="shared" ref="C10:C14" si="1">24.7*$B$7</f>
        <v>518.7</v>
      </c>
      <c r="D10" s="97"/>
      <c r="E10" s="82"/>
      <c r="F10" s="48"/>
    </row>
    <row r="11">
      <c r="A11" s="83" t="s">
        <v>31</v>
      </c>
      <c r="B11" s="84" t="s">
        <v>32</v>
      </c>
      <c r="C11" s="98">
        <f t="shared" si="1"/>
        <v>518.7</v>
      </c>
      <c r="D11" s="97"/>
      <c r="E11" s="82"/>
      <c r="F11" s="48"/>
    </row>
    <row r="12">
      <c r="A12" s="78" t="s">
        <v>33</v>
      </c>
      <c r="B12" s="79" t="s">
        <v>34</v>
      </c>
      <c r="C12" s="96">
        <f t="shared" si="1"/>
        <v>518.7</v>
      </c>
      <c r="D12" s="97"/>
      <c r="E12" s="82"/>
      <c r="F12" s="48"/>
    </row>
    <row r="13">
      <c r="A13" s="83" t="s">
        <v>35</v>
      </c>
      <c r="B13" s="84" t="s">
        <v>36</v>
      </c>
      <c r="C13" s="102">
        <f t="shared" si="1"/>
        <v>518.7</v>
      </c>
      <c r="D13" s="97"/>
      <c r="E13" s="82"/>
      <c r="F13" s="48"/>
    </row>
    <row r="14">
      <c r="A14" s="78" t="s">
        <v>39</v>
      </c>
      <c r="B14" s="79" t="s">
        <v>40</v>
      </c>
      <c r="C14" s="80">
        <f t="shared" si="1"/>
        <v>518.7</v>
      </c>
      <c r="D14" s="97"/>
      <c r="E14" s="82"/>
      <c r="F14" s="48"/>
    </row>
    <row r="15">
      <c r="A15" s="83" t="s">
        <v>41</v>
      </c>
      <c r="B15" s="84" t="s">
        <v>42</v>
      </c>
      <c r="C15" s="58">
        <v>0.0</v>
      </c>
      <c r="D15" s="97"/>
      <c r="E15" s="82" t="s">
        <v>108</v>
      </c>
      <c r="F15" s="48"/>
    </row>
    <row r="16">
      <c r="A16" s="78" t="s">
        <v>43</v>
      </c>
      <c r="B16" s="79" t="s">
        <v>44</v>
      </c>
      <c r="C16" s="80">
        <f t="shared" ref="C16:C21" si="2">24.7*$B$7</f>
        <v>518.7</v>
      </c>
      <c r="D16" s="97"/>
      <c r="E16" s="82"/>
      <c r="F16" s="48"/>
    </row>
    <row r="17">
      <c r="A17" s="83" t="s">
        <v>47</v>
      </c>
      <c r="B17" s="84" t="s">
        <v>48</v>
      </c>
      <c r="C17" s="58">
        <f t="shared" si="2"/>
        <v>518.7</v>
      </c>
      <c r="D17" s="97"/>
      <c r="E17" s="82"/>
      <c r="F17" s="48"/>
    </row>
    <row r="18">
      <c r="A18" s="85" t="s">
        <v>100</v>
      </c>
      <c r="B18" s="87" t="s">
        <v>101</v>
      </c>
      <c r="C18" s="80">
        <f t="shared" si="2"/>
        <v>518.7</v>
      </c>
      <c r="D18" s="97"/>
      <c r="E18" s="99"/>
      <c r="F18" s="99"/>
      <c r="H18" s="103" t="str">
        <f>H175</f>
        <v/>
      </c>
    </row>
    <row r="19">
      <c r="A19" s="83" t="s">
        <v>92</v>
      </c>
      <c r="B19" s="84" t="s">
        <v>93</v>
      </c>
      <c r="C19" s="58">
        <f t="shared" si="2"/>
        <v>518.7</v>
      </c>
      <c r="D19" s="97"/>
      <c r="E19" s="82"/>
      <c r="F19" s="48"/>
    </row>
    <row r="20">
      <c r="A20" s="100" t="s">
        <v>51</v>
      </c>
      <c r="B20" s="101" t="s">
        <v>52</v>
      </c>
      <c r="C20" s="58">
        <f t="shared" si="2"/>
        <v>518.7</v>
      </c>
      <c r="D20" s="97"/>
      <c r="E20" s="82"/>
      <c r="F20" s="48"/>
    </row>
    <row r="21">
      <c r="A21" s="78" t="s">
        <v>80</v>
      </c>
      <c r="B21" s="79" t="s">
        <v>81</v>
      </c>
      <c r="C21" s="80">
        <f t="shared" si="2"/>
        <v>518.7</v>
      </c>
      <c r="D21" s="97"/>
      <c r="E21" s="82"/>
      <c r="F21" s="48"/>
    </row>
    <row r="22">
      <c r="A22" s="100" t="s">
        <v>53</v>
      </c>
      <c r="B22" s="101" t="s">
        <v>54</v>
      </c>
      <c r="C22" s="98">
        <v>0.0</v>
      </c>
      <c r="D22" s="97"/>
      <c r="E22" s="82" t="s">
        <v>110</v>
      </c>
      <c r="F22" s="48"/>
    </row>
    <row r="23">
      <c r="A23" s="78" t="s">
        <v>55</v>
      </c>
      <c r="B23" s="79" t="s">
        <v>56</v>
      </c>
      <c r="C23" s="80">
        <f t="shared" ref="C23:C31" si="3">24.7*$B$7</f>
        <v>518.7</v>
      </c>
      <c r="D23" s="97"/>
      <c r="E23" s="82"/>
      <c r="F23" s="48"/>
    </row>
    <row r="24">
      <c r="A24" s="100" t="s">
        <v>59</v>
      </c>
      <c r="B24" s="101" t="s">
        <v>60</v>
      </c>
      <c r="C24" s="98">
        <f t="shared" si="3"/>
        <v>518.7</v>
      </c>
      <c r="D24" s="97"/>
      <c r="E24" s="82"/>
      <c r="F24" s="48"/>
    </row>
    <row r="25">
      <c r="A25" s="78" t="s">
        <v>61</v>
      </c>
      <c r="B25" s="79" t="s">
        <v>62</v>
      </c>
      <c r="C25" s="80">
        <f t="shared" si="3"/>
        <v>518.7</v>
      </c>
      <c r="D25" s="97"/>
      <c r="E25" s="82"/>
      <c r="F25" s="48"/>
    </row>
    <row r="26">
      <c r="A26" s="100" t="s">
        <v>63</v>
      </c>
      <c r="B26" s="101" t="s">
        <v>64</v>
      </c>
      <c r="C26" s="98">
        <f t="shared" si="3"/>
        <v>518.7</v>
      </c>
      <c r="D26" s="97"/>
      <c r="E26" s="82"/>
      <c r="F26" s="48"/>
    </row>
    <row r="27">
      <c r="A27" s="104" t="s">
        <v>69</v>
      </c>
      <c r="B27" s="105" t="s">
        <v>70</v>
      </c>
      <c r="C27" s="106">
        <f t="shared" si="3"/>
        <v>518.7</v>
      </c>
      <c r="D27" s="97"/>
      <c r="E27" s="82"/>
      <c r="F27" s="48"/>
    </row>
    <row r="28">
      <c r="A28" s="100" t="s">
        <v>73</v>
      </c>
      <c r="B28" s="101" t="s">
        <v>74</v>
      </c>
      <c r="C28" s="98">
        <f t="shared" si="3"/>
        <v>518.7</v>
      </c>
      <c r="D28" s="97"/>
      <c r="E28" s="82"/>
      <c r="F28" s="48"/>
    </row>
    <row r="29">
      <c r="A29" s="78" t="s">
        <v>85</v>
      </c>
      <c r="B29" s="79" t="s">
        <v>86</v>
      </c>
      <c r="C29" s="80">
        <f t="shared" si="3"/>
        <v>518.7</v>
      </c>
      <c r="D29" s="97"/>
      <c r="E29" s="82"/>
      <c r="F29" s="48"/>
    </row>
    <row r="30">
      <c r="A30" s="100" t="s">
        <v>75</v>
      </c>
      <c r="B30" s="101" t="s">
        <v>76</v>
      </c>
      <c r="C30" s="102">
        <f t="shared" si="3"/>
        <v>518.7</v>
      </c>
      <c r="D30" s="97"/>
      <c r="E30" s="82"/>
      <c r="F30" s="48"/>
    </row>
    <row r="31">
      <c r="A31" s="78" t="s">
        <v>77</v>
      </c>
      <c r="B31" s="79" t="s">
        <v>78</v>
      </c>
      <c r="C31" s="80">
        <f t="shared" si="3"/>
        <v>518.7</v>
      </c>
      <c r="D31" s="97"/>
      <c r="E31" s="82"/>
      <c r="F31" s="48"/>
    </row>
    <row r="32">
      <c r="A32" s="95">
        <v>44928.0</v>
      </c>
      <c r="B32" s="8"/>
      <c r="C32" s="58"/>
      <c r="D32" s="5"/>
      <c r="E32" s="5"/>
      <c r="F32" s="5"/>
    </row>
  </sheetData>
  <mergeCells count="26">
    <mergeCell ref="A1:D6"/>
    <mergeCell ref="E1:F1"/>
    <mergeCell ref="A8:C8"/>
    <mergeCell ref="E8:F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9:F19"/>
    <mergeCell ref="E27:F27"/>
    <mergeCell ref="E28:F28"/>
    <mergeCell ref="E29:F29"/>
    <mergeCell ref="E30:F30"/>
    <mergeCell ref="E31:F31"/>
    <mergeCell ref="E20:F20"/>
    <mergeCell ref="E21:F21"/>
    <mergeCell ref="E22:F22"/>
    <mergeCell ref="E23:F23"/>
    <mergeCell ref="E24:F24"/>
    <mergeCell ref="E25:F25"/>
    <mergeCell ref="E26:F26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63"/>
    <col customWidth="1" min="4" max="4" width="8.75"/>
  </cols>
  <sheetData>
    <row r="1">
      <c r="A1" s="13" t="s">
        <v>87</v>
      </c>
      <c r="E1" s="14" t="s">
        <v>3</v>
      </c>
      <c r="F1" s="15"/>
    </row>
    <row r="2">
      <c r="A2" s="19"/>
      <c r="E2" s="5"/>
      <c r="F2" s="10"/>
    </row>
    <row r="3">
      <c r="A3" s="19"/>
      <c r="E3" s="18"/>
      <c r="F3" s="26">
        <f>SUM(C10:C31)</f>
        <v>8892</v>
      </c>
    </row>
    <row r="4">
      <c r="A4" s="19"/>
      <c r="E4" s="31"/>
      <c r="F4" s="34"/>
    </row>
    <row r="5">
      <c r="A5" s="19"/>
      <c r="E5" s="36" t="s">
        <v>14</v>
      </c>
      <c r="F5" s="37">
        <f>F3</f>
        <v>8892</v>
      </c>
    </row>
    <row r="6">
      <c r="A6" s="19"/>
      <c r="E6" s="39"/>
      <c r="F6" s="10"/>
    </row>
    <row r="7">
      <c r="A7" s="40">
        <v>24.7</v>
      </c>
      <c r="B7" s="41">
        <v>18.0</v>
      </c>
      <c r="C7" s="43" t="s">
        <v>21</v>
      </c>
      <c r="D7" s="5"/>
      <c r="E7" s="5"/>
      <c r="F7" s="10"/>
    </row>
    <row r="8">
      <c r="A8" s="42" t="s">
        <v>112</v>
      </c>
      <c r="D8" s="45"/>
      <c r="E8" s="47" t="s">
        <v>24</v>
      </c>
      <c r="F8" s="48"/>
    </row>
    <row r="9">
      <c r="A9" s="49" t="s">
        <v>25</v>
      </c>
      <c r="B9" s="50" t="s">
        <v>26</v>
      </c>
      <c r="C9" s="50" t="s">
        <v>27</v>
      </c>
      <c r="D9" s="51"/>
      <c r="E9" s="54" t="s">
        <v>28</v>
      </c>
      <c r="F9" s="48"/>
    </row>
    <row r="10">
      <c r="A10" s="78" t="s">
        <v>29</v>
      </c>
      <c r="B10" s="79" t="s">
        <v>30</v>
      </c>
      <c r="C10" s="80">
        <f t="shared" ref="C10:C14" si="1">24.7*$B$7</f>
        <v>444.6</v>
      </c>
      <c r="D10" s="97"/>
      <c r="E10" s="82"/>
      <c r="F10" s="48"/>
    </row>
    <row r="11">
      <c r="A11" s="83" t="s">
        <v>31</v>
      </c>
      <c r="B11" s="84" t="s">
        <v>32</v>
      </c>
      <c r="C11" s="98">
        <f t="shared" si="1"/>
        <v>444.6</v>
      </c>
      <c r="D11" s="97"/>
      <c r="E11" s="82"/>
      <c r="F11" s="48"/>
    </row>
    <row r="12">
      <c r="A12" s="78" t="s">
        <v>33</v>
      </c>
      <c r="B12" s="79" t="s">
        <v>34</v>
      </c>
      <c r="C12" s="96">
        <f t="shared" si="1"/>
        <v>444.6</v>
      </c>
      <c r="D12" s="97"/>
      <c r="E12" s="82"/>
      <c r="F12" s="48"/>
    </row>
    <row r="13">
      <c r="A13" s="83" t="s">
        <v>35</v>
      </c>
      <c r="B13" s="84" t="s">
        <v>36</v>
      </c>
      <c r="C13" s="102">
        <f t="shared" si="1"/>
        <v>444.6</v>
      </c>
      <c r="D13" s="97"/>
      <c r="E13" s="82"/>
      <c r="F13" s="48"/>
    </row>
    <row r="14">
      <c r="A14" s="78" t="s">
        <v>39</v>
      </c>
      <c r="B14" s="79" t="s">
        <v>40</v>
      </c>
      <c r="C14" s="80">
        <f t="shared" si="1"/>
        <v>444.6</v>
      </c>
      <c r="D14" s="97"/>
      <c r="E14" s="82"/>
      <c r="F14" s="48"/>
    </row>
    <row r="15">
      <c r="A15" s="83" t="s">
        <v>41</v>
      </c>
      <c r="B15" s="84" t="s">
        <v>42</v>
      </c>
      <c r="C15" s="58">
        <v>0.0</v>
      </c>
      <c r="D15" s="97"/>
      <c r="E15" s="82" t="s">
        <v>108</v>
      </c>
      <c r="F15" s="48"/>
    </row>
    <row r="16">
      <c r="A16" s="78" t="s">
        <v>43</v>
      </c>
      <c r="B16" s="79" t="s">
        <v>44</v>
      </c>
      <c r="C16" s="80">
        <f t="shared" ref="C16:C21" si="2">24.7*$B$7</f>
        <v>444.6</v>
      </c>
      <c r="D16" s="97"/>
      <c r="E16" s="82"/>
      <c r="F16" s="48"/>
    </row>
    <row r="17">
      <c r="A17" s="83" t="s">
        <v>47</v>
      </c>
      <c r="B17" s="84" t="s">
        <v>48</v>
      </c>
      <c r="C17" s="58">
        <f t="shared" si="2"/>
        <v>444.6</v>
      </c>
      <c r="D17" s="97"/>
      <c r="E17" s="82"/>
      <c r="F17" s="48"/>
    </row>
    <row r="18">
      <c r="A18" s="85" t="s">
        <v>100</v>
      </c>
      <c r="B18" s="87" t="s">
        <v>101</v>
      </c>
      <c r="C18" s="80">
        <f t="shared" si="2"/>
        <v>444.6</v>
      </c>
      <c r="D18" s="97"/>
      <c r="E18" s="82"/>
      <c r="F18" s="48"/>
      <c r="H18" s="103" t="str">
        <f>H175</f>
        <v/>
      </c>
    </row>
    <row r="19">
      <c r="A19" s="83" t="s">
        <v>92</v>
      </c>
      <c r="B19" s="84" t="s">
        <v>93</v>
      </c>
      <c r="C19" s="58">
        <f t="shared" si="2"/>
        <v>444.6</v>
      </c>
      <c r="D19" s="97"/>
      <c r="E19" s="82"/>
      <c r="F19" s="48"/>
    </row>
    <row r="20">
      <c r="A20" s="100" t="s">
        <v>51</v>
      </c>
      <c r="B20" s="101" t="s">
        <v>52</v>
      </c>
      <c r="C20" s="58">
        <f t="shared" si="2"/>
        <v>444.6</v>
      </c>
      <c r="D20" s="97"/>
      <c r="E20" s="82"/>
      <c r="F20" s="48"/>
    </row>
    <row r="21">
      <c r="A21" s="78" t="s">
        <v>80</v>
      </c>
      <c r="B21" s="79" t="s">
        <v>81</v>
      </c>
      <c r="C21" s="80">
        <f t="shared" si="2"/>
        <v>444.6</v>
      </c>
      <c r="D21" s="97"/>
      <c r="E21" s="82"/>
      <c r="F21" s="48"/>
    </row>
    <row r="22">
      <c r="A22" s="100" t="s">
        <v>53</v>
      </c>
      <c r="B22" s="101" t="s">
        <v>54</v>
      </c>
      <c r="C22" s="98">
        <v>0.0</v>
      </c>
      <c r="D22" s="97"/>
      <c r="E22" s="82" t="s">
        <v>110</v>
      </c>
      <c r="F22" s="48"/>
    </row>
    <row r="23">
      <c r="A23" s="78" t="s">
        <v>55</v>
      </c>
      <c r="B23" s="79" t="s">
        <v>56</v>
      </c>
      <c r="C23" s="80">
        <f t="shared" ref="C23:C31" si="3">24.7*$B$7</f>
        <v>444.6</v>
      </c>
      <c r="D23" s="97"/>
      <c r="E23" s="82"/>
      <c r="F23" s="48"/>
    </row>
    <row r="24">
      <c r="A24" s="100" t="s">
        <v>59</v>
      </c>
      <c r="B24" s="101" t="s">
        <v>60</v>
      </c>
      <c r="C24" s="98">
        <f t="shared" si="3"/>
        <v>444.6</v>
      </c>
      <c r="D24" s="97"/>
      <c r="E24" s="82"/>
      <c r="F24" s="48"/>
    </row>
    <row r="25">
      <c r="A25" s="78" t="s">
        <v>61</v>
      </c>
      <c r="B25" s="79" t="s">
        <v>62</v>
      </c>
      <c r="C25" s="80">
        <f t="shared" si="3"/>
        <v>444.6</v>
      </c>
      <c r="D25" s="97"/>
      <c r="E25" s="82"/>
      <c r="F25" s="48"/>
    </row>
    <row r="26">
      <c r="A26" s="100" t="s">
        <v>63</v>
      </c>
      <c r="B26" s="101" t="s">
        <v>64</v>
      </c>
      <c r="C26" s="98">
        <f t="shared" si="3"/>
        <v>444.6</v>
      </c>
      <c r="D26" s="97"/>
      <c r="E26" s="82"/>
      <c r="F26" s="48"/>
    </row>
    <row r="27">
      <c r="A27" s="104" t="s">
        <v>69</v>
      </c>
      <c r="B27" s="105" t="s">
        <v>70</v>
      </c>
      <c r="C27" s="106">
        <f t="shared" si="3"/>
        <v>444.6</v>
      </c>
      <c r="D27" s="97"/>
      <c r="E27" s="82"/>
      <c r="F27" s="48"/>
    </row>
    <row r="28">
      <c r="A28" s="100" t="s">
        <v>73</v>
      </c>
      <c r="B28" s="101" t="s">
        <v>74</v>
      </c>
      <c r="C28" s="98">
        <f t="shared" si="3"/>
        <v>444.6</v>
      </c>
      <c r="D28" s="97"/>
      <c r="E28" s="82"/>
      <c r="F28" s="48"/>
    </row>
    <row r="29">
      <c r="A29" s="78" t="s">
        <v>85</v>
      </c>
      <c r="B29" s="79" t="s">
        <v>86</v>
      </c>
      <c r="C29" s="80">
        <f t="shared" si="3"/>
        <v>444.6</v>
      </c>
      <c r="D29" s="97"/>
      <c r="E29" s="82"/>
      <c r="F29" s="48"/>
    </row>
    <row r="30">
      <c r="A30" s="100" t="s">
        <v>75</v>
      </c>
      <c r="B30" s="101" t="s">
        <v>76</v>
      </c>
      <c r="C30" s="102">
        <f t="shared" si="3"/>
        <v>444.6</v>
      </c>
      <c r="D30" s="97"/>
      <c r="E30" s="82"/>
      <c r="F30" s="48"/>
    </row>
    <row r="31">
      <c r="A31" s="78" t="s">
        <v>77</v>
      </c>
      <c r="B31" s="79" t="s">
        <v>78</v>
      </c>
      <c r="C31" s="80">
        <f t="shared" si="3"/>
        <v>444.6</v>
      </c>
      <c r="D31" s="97"/>
      <c r="E31" s="82"/>
      <c r="F31" s="48"/>
    </row>
    <row r="32">
      <c r="A32" s="95">
        <v>44958.0</v>
      </c>
      <c r="B32" s="8"/>
      <c r="C32" s="58"/>
      <c r="D32" s="5"/>
      <c r="E32" s="5"/>
      <c r="F32" s="5"/>
    </row>
  </sheetData>
  <mergeCells count="27">
    <mergeCell ref="A1:D6"/>
    <mergeCell ref="E1:F1"/>
    <mergeCell ref="A8:C8"/>
    <mergeCell ref="E8:F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26:F26"/>
    <mergeCell ref="E27:F27"/>
    <mergeCell ref="E28:F28"/>
    <mergeCell ref="E29:F29"/>
    <mergeCell ref="E30:F30"/>
    <mergeCell ref="E31:F31"/>
    <mergeCell ref="E19:F19"/>
    <mergeCell ref="E20:F20"/>
    <mergeCell ref="E21:F21"/>
    <mergeCell ref="E22:F22"/>
    <mergeCell ref="E23:F23"/>
    <mergeCell ref="E24:F24"/>
    <mergeCell ref="E25:F25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63"/>
    <col customWidth="1" min="4" max="4" width="8.75"/>
  </cols>
  <sheetData>
    <row r="1">
      <c r="A1" s="13" t="s">
        <v>87</v>
      </c>
      <c r="E1" s="14" t="s">
        <v>3</v>
      </c>
      <c r="F1" s="15"/>
    </row>
    <row r="2">
      <c r="A2" s="19"/>
      <c r="E2" s="5"/>
      <c r="F2" s="10"/>
    </row>
    <row r="3">
      <c r="A3" s="19"/>
      <c r="E3" s="18"/>
      <c r="F3" s="26">
        <f>SUM(C10:C30)</f>
        <v>11110.8</v>
      </c>
    </row>
    <row r="4">
      <c r="A4" s="19"/>
      <c r="E4" s="31"/>
      <c r="F4" s="34"/>
    </row>
    <row r="5">
      <c r="A5" s="19"/>
      <c r="E5" s="36" t="s">
        <v>14</v>
      </c>
      <c r="F5" s="37">
        <f>F3</f>
        <v>11110.8</v>
      </c>
    </row>
    <row r="6">
      <c r="A6" s="19"/>
      <c r="E6" s="39"/>
      <c r="F6" s="10"/>
    </row>
    <row r="7">
      <c r="A7" s="40">
        <v>28.2</v>
      </c>
      <c r="B7" s="41">
        <v>23.0</v>
      </c>
      <c r="C7" s="43" t="s">
        <v>21</v>
      </c>
      <c r="D7" s="5"/>
      <c r="E7" s="5"/>
      <c r="F7" s="10"/>
    </row>
    <row r="8">
      <c r="A8" s="42" t="s">
        <v>113</v>
      </c>
      <c r="D8" s="45"/>
      <c r="E8" s="47" t="s">
        <v>24</v>
      </c>
      <c r="F8" s="48"/>
    </row>
    <row r="9">
      <c r="A9" s="49" t="s">
        <v>25</v>
      </c>
      <c r="B9" s="50" t="s">
        <v>26</v>
      </c>
      <c r="C9" s="50" t="s">
        <v>27</v>
      </c>
      <c r="D9" s="51"/>
      <c r="E9" s="54" t="s">
        <v>28</v>
      </c>
      <c r="F9" s="48"/>
    </row>
    <row r="10">
      <c r="A10" s="78" t="s">
        <v>29</v>
      </c>
      <c r="B10" s="79" t="s">
        <v>30</v>
      </c>
      <c r="C10" s="80">
        <f t="shared" ref="C10:C14" si="1">28.2*$B$7</f>
        <v>648.6</v>
      </c>
      <c r="D10" s="97"/>
      <c r="E10" s="82"/>
      <c r="F10" s="48"/>
    </row>
    <row r="11">
      <c r="A11" s="83" t="s">
        <v>31</v>
      </c>
      <c r="B11" s="84" t="s">
        <v>32</v>
      </c>
      <c r="C11" s="80">
        <f t="shared" si="1"/>
        <v>648.6</v>
      </c>
      <c r="D11" s="97"/>
      <c r="E11" s="82"/>
      <c r="F11" s="48"/>
    </row>
    <row r="12">
      <c r="A12" s="78" t="s">
        <v>33</v>
      </c>
      <c r="B12" s="79" t="s">
        <v>34</v>
      </c>
      <c r="C12" s="80">
        <f t="shared" si="1"/>
        <v>648.6</v>
      </c>
      <c r="D12" s="97"/>
      <c r="E12" s="82"/>
      <c r="F12" s="48"/>
    </row>
    <row r="13">
      <c r="A13" s="83" t="s">
        <v>35</v>
      </c>
      <c r="B13" s="84" t="s">
        <v>36</v>
      </c>
      <c r="C13" s="80">
        <f t="shared" si="1"/>
        <v>648.6</v>
      </c>
      <c r="D13" s="97"/>
      <c r="E13" s="82"/>
      <c r="F13" s="48"/>
    </row>
    <row r="14">
      <c r="A14" s="78" t="s">
        <v>39</v>
      </c>
      <c r="B14" s="79" t="s">
        <v>40</v>
      </c>
      <c r="C14" s="80">
        <f t="shared" si="1"/>
        <v>648.6</v>
      </c>
      <c r="D14" s="97"/>
      <c r="E14" s="82"/>
      <c r="F14" s="48"/>
    </row>
    <row r="15">
      <c r="A15" s="83" t="s">
        <v>41</v>
      </c>
      <c r="B15" s="84" t="s">
        <v>42</v>
      </c>
      <c r="C15" s="80">
        <v>0.0</v>
      </c>
      <c r="D15" s="97"/>
      <c r="E15" s="82" t="s">
        <v>96</v>
      </c>
      <c r="F15" s="48"/>
    </row>
    <row r="16">
      <c r="A16" s="78" t="s">
        <v>43</v>
      </c>
      <c r="B16" s="79" t="s">
        <v>44</v>
      </c>
      <c r="C16" s="80">
        <f t="shared" ref="C16:C18" si="2">28.2*$B$7</f>
        <v>648.6</v>
      </c>
      <c r="D16" s="97"/>
      <c r="E16" s="82"/>
      <c r="F16" s="48"/>
    </row>
    <row r="17">
      <c r="A17" s="83" t="s">
        <v>47</v>
      </c>
      <c r="B17" s="84" t="s">
        <v>48</v>
      </c>
      <c r="C17" s="80">
        <f t="shared" si="2"/>
        <v>648.6</v>
      </c>
      <c r="D17" s="97"/>
      <c r="E17" s="82"/>
      <c r="F17" s="48"/>
    </row>
    <row r="18">
      <c r="A18" s="85" t="s">
        <v>100</v>
      </c>
      <c r="B18" s="87" t="s">
        <v>101</v>
      </c>
      <c r="C18" s="80">
        <f t="shared" si="2"/>
        <v>648.6</v>
      </c>
      <c r="D18" s="97"/>
      <c r="E18" s="82"/>
      <c r="F18" s="48"/>
      <c r="H18" s="103" t="str">
        <f>H174</f>
        <v/>
      </c>
    </row>
    <row r="19">
      <c r="A19" s="100" t="s">
        <v>51</v>
      </c>
      <c r="B19" s="101" t="s">
        <v>52</v>
      </c>
      <c r="C19" s="80">
        <v>84.6</v>
      </c>
      <c r="D19" s="97"/>
      <c r="E19" s="82"/>
      <c r="F19" s="48"/>
    </row>
    <row r="20">
      <c r="A20" s="78" t="s">
        <v>80</v>
      </c>
      <c r="B20" s="79" t="s">
        <v>81</v>
      </c>
      <c r="C20" s="80">
        <f>28.2*$B$7</f>
        <v>648.6</v>
      </c>
      <c r="D20" s="97"/>
      <c r="E20" s="82"/>
      <c r="F20" s="48"/>
    </row>
    <row r="21">
      <c r="A21" s="100" t="s">
        <v>53</v>
      </c>
      <c r="B21" s="101" t="s">
        <v>54</v>
      </c>
      <c r="C21" s="80">
        <v>0.0</v>
      </c>
      <c r="D21" s="97"/>
      <c r="E21" s="82" t="s">
        <v>110</v>
      </c>
      <c r="F21" s="48"/>
    </row>
    <row r="22">
      <c r="A22" s="78" t="s">
        <v>55</v>
      </c>
      <c r="B22" s="79" t="s">
        <v>56</v>
      </c>
      <c r="C22" s="80">
        <v>0.0</v>
      </c>
      <c r="D22" s="97"/>
      <c r="E22" s="82" t="s">
        <v>96</v>
      </c>
      <c r="F22" s="48"/>
    </row>
    <row r="23">
      <c r="A23" s="100" t="s">
        <v>59</v>
      </c>
      <c r="B23" s="101" t="s">
        <v>60</v>
      </c>
      <c r="C23" s="80">
        <f t="shared" ref="C23:C30" si="3">28.2*$B$7</f>
        <v>648.6</v>
      </c>
      <c r="D23" s="97"/>
      <c r="E23" s="82"/>
      <c r="F23" s="48"/>
    </row>
    <row r="24">
      <c r="A24" s="78" t="s">
        <v>61</v>
      </c>
      <c r="B24" s="79" t="s">
        <v>62</v>
      </c>
      <c r="C24" s="80">
        <f t="shared" si="3"/>
        <v>648.6</v>
      </c>
      <c r="D24" s="97"/>
      <c r="E24" s="82"/>
      <c r="F24" s="48"/>
    </row>
    <row r="25">
      <c r="A25" s="100" t="s">
        <v>63</v>
      </c>
      <c r="B25" s="101" t="s">
        <v>64</v>
      </c>
      <c r="C25" s="80">
        <f t="shared" si="3"/>
        <v>648.6</v>
      </c>
      <c r="D25" s="97"/>
      <c r="E25" s="82"/>
      <c r="F25" s="48"/>
    </row>
    <row r="26">
      <c r="A26" s="104" t="s">
        <v>69</v>
      </c>
      <c r="B26" s="105" t="s">
        <v>70</v>
      </c>
      <c r="C26" s="80">
        <f t="shared" si="3"/>
        <v>648.6</v>
      </c>
      <c r="D26" s="97"/>
      <c r="E26" s="82"/>
      <c r="F26" s="48"/>
    </row>
    <row r="27">
      <c r="A27" s="100" t="s">
        <v>73</v>
      </c>
      <c r="B27" s="101" t="s">
        <v>74</v>
      </c>
      <c r="C27" s="80">
        <f t="shared" si="3"/>
        <v>648.6</v>
      </c>
      <c r="D27" s="97"/>
      <c r="E27" s="82"/>
      <c r="F27" s="48"/>
    </row>
    <row r="28">
      <c r="A28" s="78" t="s">
        <v>85</v>
      </c>
      <c r="B28" s="79" t="s">
        <v>86</v>
      </c>
      <c r="C28" s="80">
        <f t="shared" si="3"/>
        <v>648.6</v>
      </c>
      <c r="D28" s="97"/>
      <c r="E28" s="82"/>
      <c r="F28" s="48"/>
    </row>
    <row r="29">
      <c r="A29" s="100" t="s">
        <v>75</v>
      </c>
      <c r="B29" s="101" t="s">
        <v>76</v>
      </c>
      <c r="C29" s="80">
        <f t="shared" si="3"/>
        <v>648.6</v>
      </c>
      <c r="D29" s="97"/>
      <c r="E29" s="82"/>
      <c r="F29" s="48"/>
    </row>
    <row r="30">
      <c r="A30" s="78" t="s">
        <v>77</v>
      </c>
      <c r="B30" s="79" t="s">
        <v>78</v>
      </c>
      <c r="C30" s="80">
        <f t="shared" si="3"/>
        <v>648.6</v>
      </c>
      <c r="D30" s="97"/>
      <c r="E30" s="82"/>
      <c r="F30" s="48"/>
    </row>
    <row r="31">
      <c r="A31" s="95"/>
      <c r="B31" s="8"/>
      <c r="C31" s="58"/>
      <c r="D31" s="5"/>
      <c r="E31" s="5"/>
      <c r="F31" s="5"/>
    </row>
  </sheetData>
  <mergeCells count="26">
    <mergeCell ref="A1:D6"/>
    <mergeCell ref="E1:F1"/>
    <mergeCell ref="A8:C8"/>
    <mergeCell ref="E8:F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26:F26"/>
    <mergeCell ref="E27:F27"/>
    <mergeCell ref="E28:F28"/>
    <mergeCell ref="E29:F29"/>
    <mergeCell ref="E30:F30"/>
    <mergeCell ref="E19:F19"/>
    <mergeCell ref="E20:F20"/>
    <mergeCell ref="E21:F21"/>
    <mergeCell ref="E22:F22"/>
    <mergeCell ref="E23:F23"/>
    <mergeCell ref="E24:F24"/>
    <mergeCell ref="E25:F25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63"/>
    <col customWidth="1" min="4" max="4" width="8.75"/>
  </cols>
  <sheetData>
    <row r="1">
      <c r="A1" s="13" t="s">
        <v>87</v>
      </c>
      <c r="E1" s="14" t="s">
        <v>3</v>
      </c>
      <c r="F1" s="15"/>
    </row>
    <row r="2">
      <c r="A2" s="19"/>
      <c r="E2" s="5"/>
      <c r="F2" s="10"/>
    </row>
    <row r="3">
      <c r="A3" s="19"/>
      <c r="E3" s="18"/>
      <c r="F3" s="26">
        <f>SUM(C10:C30)</f>
        <v>10152</v>
      </c>
    </row>
    <row r="4">
      <c r="A4" s="19"/>
      <c r="E4" s="31"/>
      <c r="F4" s="34"/>
    </row>
    <row r="5">
      <c r="A5" s="19"/>
      <c r="E5" s="36" t="s">
        <v>14</v>
      </c>
      <c r="F5" s="37">
        <f>F3</f>
        <v>10152</v>
      </c>
    </row>
    <row r="6">
      <c r="A6" s="19"/>
      <c r="E6" s="39"/>
      <c r="F6" s="10"/>
    </row>
    <row r="7">
      <c r="A7" s="40">
        <v>28.2</v>
      </c>
      <c r="B7" s="41">
        <v>18.0</v>
      </c>
      <c r="C7" s="43" t="s">
        <v>21</v>
      </c>
      <c r="D7" s="5"/>
      <c r="E7" s="5"/>
      <c r="F7" s="10"/>
    </row>
    <row r="8">
      <c r="A8" s="42" t="s">
        <v>113</v>
      </c>
      <c r="D8" s="45"/>
      <c r="E8" s="47" t="s">
        <v>24</v>
      </c>
      <c r="F8" s="48"/>
    </row>
    <row r="9">
      <c r="A9" s="49" t="s">
        <v>25</v>
      </c>
      <c r="B9" s="50" t="s">
        <v>26</v>
      </c>
      <c r="C9" s="50" t="s">
        <v>27</v>
      </c>
      <c r="D9" s="51"/>
      <c r="E9" s="54" t="s">
        <v>28</v>
      </c>
      <c r="F9" s="48"/>
    </row>
    <row r="10">
      <c r="A10" s="78" t="s">
        <v>29</v>
      </c>
      <c r="B10" s="79" t="s">
        <v>30</v>
      </c>
      <c r="C10" s="80">
        <f t="shared" ref="C10:C14" si="1">28.2*$B$7</f>
        <v>507.6</v>
      </c>
      <c r="D10" s="97"/>
      <c r="E10" s="82"/>
      <c r="F10" s="48"/>
    </row>
    <row r="11">
      <c r="A11" s="83" t="s">
        <v>31</v>
      </c>
      <c r="B11" s="84" t="s">
        <v>32</v>
      </c>
      <c r="C11" s="80">
        <f t="shared" si="1"/>
        <v>507.6</v>
      </c>
      <c r="D11" s="97"/>
      <c r="E11" s="82"/>
      <c r="F11" s="48"/>
    </row>
    <row r="12">
      <c r="A12" s="78" t="s">
        <v>33</v>
      </c>
      <c r="B12" s="79" t="s">
        <v>34</v>
      </c>
      <c r="C12" s="80">
        <f t="shared" si="1"/>
        <v>507.6</v>
      </c>
      <c r="D12" s="97"/>
      <c r="E12" s="82"/>
      <c r="F12" s="48"/>
    </row>
    <row r="13">
      <c r="A13" s="83" t="s">
        <v>35</v>
      </c>
      <c r="B13" s="84" t="s">
        <v>36</v>
      </c>
      <c r="C13" s="80">
        <f t="shared" si="1"/>
        <v>507.6</v>
      </c>
      <c r="D13" s="97"/>
      <c r="E13" s="82"/>
      <c r="F13" s="48"/>
    </row>
    <row r="14">
      <c r="A14" s="78" t="s">
        <v>39</v>
      </c>
      <c r="B14" s="79" t="s">
        <v>40</v>
      </c>
      <c r="C14" s="80">
        <f t="shared" si="1"/>
        <v>507.6</v>
      </c>
      <c r="D14" s="97"/>
      <c r="E14" s="82"/>
      <c r="F14" s="48"/>
    </row>
    <row r="15">
      <c r="A15" s="83" t="s">
        <v>41</v>
      </c>
      <c r="B15" s="84" t="s">
        <v>42</v>
      </c>
      <c r="C15" s="80">
        <v>0.0</v>
      </c>
      <c r="D15" s="97"/>
      <c r="E15" s="82" t="s">
        <v>96</v>
      </c>
      <c r="F15" s="48"/>
    </row>
    <row r="16">
      <c r="A16" s="78" t="s">
        <v>43</v>
      </c>
      <c r="B16" s="79" t="s">
        <v>44</v>
      </c>
      <c r="C16" s="80">
        <f t="shared" ref="C16:C30" si="2">28.2*$B$7</f>
        <v>507.6</v>
      </c>
      <c r="D16" s="97"/>
      <c r="E16" s="82"/>
      <c r="F16" s="48"/>
    </row>
    <row r="17">
      <c r="A17" s="83" t="s">
        <v>47</v>
      </c>
      <c r="B17" s="84" t="s">
        <v>48</v>
      </c>
      <c r="C17" s="80">
        <f t="shared" si="2"/>
        <v>507.6</v>
      </c>
      <c r="D17" s="97"/>
      <c r="E17" s="82"/>
      <c r="F17" s="48"/>
    </row>
    <row r="18">
      <c r="A18" s="85" t="s">
        <v>100</v>
      </c>
      <c r="B18" s="87" t="s">
        <v>101</v>
      </c>
      <c r="C18" s="80">
        <f t="shared" si="2"/>
        <v>507.6</v>
      </c>
      <c r="D18" s="97"/>
      <c r="E18" s="82"/>
      <c r="F18" s="48"/>
      <c r="H18" s="103" t="str">
        <f>H173</f>
        <v/>
      </c>
    </row>
    <row r="19">
      <c r="A19" s="78" t="s">
        <v>80</v>
      </c>
      <c r="B19" s="79" t="s">
        <v>81</v>
      </c>
      <c r="C19" s="80">
        <f t="shared" si="2"/>
        <v>507.6</v>
      </c>
      <c r="D19" s="97"/>
      <c r="E19" s="82"/>
      <c r="F19" s="48"/>
    </row>
    <row r="20">
      <c r="A20" s="100" t="s">
        <v>53</v>
      </c>
      <c r="B20" s="101" t="s">
        <v>54</v>
      </c>
      <c r="C20" s="80">
        <f t="shared" si="2"/>
        <v>507.6</v>
      </c>
      <c r="D20" s="97"/>
      <c r="E20" s="82"/>
      <c r="F20" s="48"/>
    </row>
    <row r="21">
      <c r="A21" s="78" t="s">
        <v>55</v>
      </c>
      <c r="B21" s="79" t="s">
        <v>56</v>
      </c>
      <c r="C21" s="80">
        <f t="shared" si="2"/>
        <v>507.6</v>
      </c>
      <c r="D21" s="97"/>
      <c r="E21" s="82"/>
      <c r="F21" s="48"/>
    </row>
    <row r="22">
      <c r="A22" s="100" t="s">
        <v>59</v>
      </c>
      <c r="B22" s="101" t="s">
        <v>60</v>
      </c>
      <c r="C22" s="80">
        <f t="shared" si="2"/>
        <v>507.6</v>
      </c>
      <c r="D22" s="97"/>
      <c r="E22" s="82"/>
      <c r="F22" s="48"/>
    </row>
    <row r="23">
      <c r="A23" s="78" t="s">
        <v>61</v>
      </c>
      <c r="B23" s="79" t="s">
        <v>62</v>
      </c>
      <c r="C23" s="80">
        <f t="shared" si="2"/>
        <v>507.6</v>
      </c>
      <c r="D23" s="97"/>
      <c r="E23" s="82"/>
      <c r="F23" s="48"/>
    </row>
    <row r="24">
      <c r="A24" s="100" t="s">
        <v>63</v>
      </c>
      <c r="B24" s="101" t="s">
        <v>64</v>
      </c>
      <c r="C24" s="80">
        <f t="shared" si="2"/>
        <v>507.6</v>
      </c>
      <c r="D24" s="97"/>
      <c r="E24" s="82"/>
      <c r="F24" s="48"/>
    </row>
    <row r="25">
      <c r="A25" s="104" t="s">
        <v>69</v>
      </c>
      <c r="B25" s="105" t="s">
        <v>70</v>
      </c>
      <c r="C25" s="80">
        <f t="shared" si="2"/>
        <v>507.6</v>
      </c>
      <c r="D25" s="97"/>
      <c r="E25" s="82"/>
      <c r="F25" s="48"/>
    </row>
    <row r="26">
      <c r="A26" s="100" t="s">
        <v>73</v>
      </c>
      <c r="B26" s="101" t="s">
        <v>74</v>
      </c>
      <c r="C26" s="80">
        <f t="shared" si="2"/>
        <v>507.6</v>
      </c>
      <c r="D26" s="97"/>
      <c r="E26" s="82"/>
      <c r="F26" s="48"/>
    </row>
    <row r="27">
      <c r="A27" s="78" t="s">
        <v>85</v>
      </c>
      <c r="B27" s="79" t="s">
        <v>86</v>
      </c>
      <c r="C27" s="80">
        <f t="shared" si="2"/>
        <v>507.6</v>
      </c>
      <c r="D27" s="97"/>
      <c r="E27" s="82"/>
      <c r="F27" s="48"/>
    </row>
    <row r="28">
      <c r="A28" s="100" t="s">
        <v>75</v>
      </c>
      <c r="B28" s="101" t="s">
        <v>76</v>
      </c>
      <c r="C28" s="80">
        <f t="shared" si="2"/>
        <v>507.6</v>
      </c>
      <c r="D28" s="97"/>
      <c r="E28" s="82"/>
      <c r="F28" s="48"/>
    </row>
    <row r="29">
      <c r="A29" s="78" t="s">
        <v>77</v>
      </c>
      <c r="B29" s="79" t="s">
        <v>78</v>
      </c>
      <c r="C29" s="80">
        <f t="shared" si="2"/>
        <v>507.6</v>
      </c>
      <c r="D29" s="97"/>
      <c r="E29" s="82"/>
      <c r="F29" s="48"/>
    </row>
    <row r="30">
      <c r="A30" s="107" t="s">
        <v>114</v>
      </c>
      <c r="B30" s="108" t="s">
        <v>115</v>
      </c>
      <c r="C30" s="109">
        <f t="shared" si="2"/>
        <v>507.6</v>
      </c>
      <c r="D30" s="5"/>
      <c r="E30" s="5"/>
      <c r="F30" s="5"/>
    </row>
  </sheetData>
  <mergeCells count="25">
    <mergeCell ref="A1:D6"/>
    <mergeCell ref="E1:F1"/>
    <mergeCell ref="A8:C8"/>
    <mergeCell ref="E8:F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26:F26"/>
    <mergeCell ref="E27:F27"/>
    <mergeCell ref="E28:F28"/>
    <mergeCell ref="E29:F29"/>
    <mergeCell ref="E19:F19"/>
    <mergeCell ref="E20:F20"/>
    <mergeCell ref="E21:F21"/>
    <mergeCell ref="E22:F22"/>
    <mergeCell ref="E23:F23"/>
    <mergeCell ref="E24:F24"/>
    <mergeCell ref="E25:F25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4"/>
  <legacyDrawing r:id="rId5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63"/>
    <col customWidth="1" min="4" max="4" width="8.75"/>
  </cols>
  <sheetData>
    <row r="1">
      <c r="A1" s="13" t="s">
        <v>87</v>
      </c>
      <c r="E1" s="14" t="s">
        <v>3</v>
      </c>
      <c r="F1" s="15"/>
    </row>
    <row r="2">
      <c r="A2" s="19"/>
      <c r="E2" s="5"/>
      <c r="F2" s="10"/>
    </row>
    <row r="3">
      <c r="A3" s="19"/>
      <c r="E3" s="18"/>
      <c r="F3" s="26">
        <f>SUM(C10:C30)</f>
        <v>11787.6</v>
      </c>
    </row>
    <row r="4">
      <c r="A4" s="19"/>
      <c r="E4" s="31"/>
      <c r="F4" s="34"/>
    </row>
    <row r="5">
      <c r="A5" s="19"/>
      <c r="E5" s="36" t="s">
        <v>14</v>
      </c>
      <c r="F5" s="37">
        <f>F3</f>
        <v>11787.6</v>
      </c>
    </row>
    <row r="6">
      <c r="A6" s="19"/>
      <c r="E6" s="39"/>
      <c r="F6" s="10"/>
    </row>
    <row r="7">
      <c r="A7" s="40">
        <v>28.2</v>
      </c>
      <c r="B7" s="41">
        <v>22.0</v>
      </c>
      <c r="C7" s="43" t="s">
        <v>21</v>
      </c>
      <c r="D7" s="5"/>
      <c r="E7" s="5"/>
      <c r="F7" s="10"/>
    </row>
    <row r="8">
      <c r="A8" s="42" t="s">
        <v>116</v>
      </c>
      <c r="D8" s="45"/>
      <c r="E8" s="47" t="s">
        <v>24</v>
      </c>
      <c r="F8" s="48"/>
    </row>
    <row r="9">
      <c r="A9" s="49" t="s">
        <v>25</v>
      </c>
      <c r="B9" s="50" t="s">
        <v>26</v>
      </c>
      <c r="C9" s="50" t="s">
        <v>27</v>
      </c>
      <c r="D9" s="51"/>
      <c r="E9" s="54" t="s">
        <v>28</v>
      </c>
      <c r="F9" s="48"/>
    </row>
    <row r="10">
      <c r="A10" s="78" t="s">
        <v>29</v>
      </c>
      <c r="B10" s="79" t="s">
        <v>30</v>
      </c>
      <c r="C10" s="80">
        <f t="shared" ref="C10:C26" si="1">28.2*$B$7</f>
        <v>620.4</v>
      </c>
      <c r="D10" s="97"/>
      <c r="E10" s="82"/>
      <c r="F10" s="48"/>
    </row>
    <row r="11">
      <c r="A11" s="83" t="s">
        <v>31</v>
      </c>
      <c r="B11" s="84" t="s">
        <v>32</v>
      </c>
      <c r="C11" s="80">
        <f t="shared" si="1"/>
        <v>620.4</v>
      </c>
      <c r="D11" s="97"/>
      <c r="E11" s="82"/>
      <c r="F11" s="48"/>
    </row>
    <row r="12">
      <c r="A12" s="78" t="s">
        <v>33</v>
      </c>
      <c r="B12" s="79" t="s">
        <v>34</v>
      </c>
      <c r="C12" s="80">
        <f t="shared" si="1"/>
        <v>620.4</v>
      </c>
      <c r="D12" s="97"/>
      <c r="E12" s="82"/>
      <c r="F12" s="48"/>
    </row>
    <row r="13">
      <c r="A13" s="83" t="s">
        <v>35</v>
      </c>
      <c r="B13" s="84" t="s">
        <v>36</v>
      </c>
      <c r="C13" s="80">
        <f t="shared" si="1"/>
        <v>620.4</v>
      </c>
      <c r="D13" s="97"/>
      <c r="E13" s="82"/>
      <c r="F13" s="48"/>
    </row>
    <row r="14">
      <c r="A14" s="78" t="s">
        <v>39</v>
      </c>
      <c r="B14" s="79" t="s">
        <v>40</v>
      </c>
      <c r="C14" s="80">
        <f t="shared" si="1"/>
        <v>620.4</v>
      </c>
      <c r="D14" s="97"/>
      <c r="E14" s="82"/>
      <c r="F14" s="48"/>
    </row>
    <row r="15">
      <c r="A15" s="83" t="s">
        <v>41</v>
      </c>
      <c r="B15" s="84" t="s">
        <v>42</v>
      </c>
      <c r="C15" s="80">
        <f t="shared" si="1"/>
        <v>620.4</v>
      </c>
      <c r="D15" s="97"/>
      <c r="E15" s="82"/>
      <c r="F15" s="48"/>
    </row>
    <row r="16">
      <c r="A16" s="78" t="s">
        <v>43</v>
      </c>
      <c r="B16" s="79" t="s">
        <v>44</v>
      </c>
      <c r="C16" s="80">
        <f t="shared" si="1"/>
        <v>620.4</v>
      </c>
      <c r="D16" s="97"/>
      <c r="E16" s="82"/>
      <c r="F16" s="48"/>
    </row>
    <row r="17">
      <c r="A17" s="83" t="s">
        <v>47</v>
      </c>
      <c r="B17" s="84" t="s">
        <v>48</v>
      </c>
      <c r="C17" s="80">
        <f t="shared" si="1"/>
        <v>620.4</v>
      </c>
      <c r="D17" s="97"/>
      <c r="E17" s="82"/>
      <c r="F17" s="48"/>
    </row>
    <row r="18">
      <c r="A18" s="85" t="s">
        <v>100</v>
      </c>
      <c r="B18" s="87" t="s">
        <v>101</v>
      </c>
      <c r="C18" s="80">
        <f t="shared" si="1"/>
        <v>620.4</v>
      </c>
      <c r="D18" s="97"/>
      <c r="E18" s="82"/>
      <c r="F18" s="48"/>
      <c r="H18" s="103" t="str">
        <f>H173</f>
        <v/>
      </c>
    </row>
    <row r="19">
      <c r="A19" s="78" t="s">
        <v>80</v>
      </c>
      <c r="B19" s="79" t="s">
        <v>81</v>
      </c>
      <c r="C19" s="80">
        <f t="shared" si="1"/>
        <v>620.4</v>
      </c>
      <c r="D19" s="97"/>
      <c r="E19" s="82"/>
      <c r="F19" s="48"/>
    </row>
    <row r="20">
      <c r="A20" s="100" t="s">
        <v>53</v>
      </c>
      <c r="B20" s="101" t="s">
        <v>54</v>
      </c>
      <c r="C20" s="80">
        <f t="shared" si="1"/>
        <v>620.4</v>
      </c>
      <c r="D20" s="97"/>
      <c r="E20" s="82"/>
      <c r="F20" s="48"/>
    </row>
    <row r="21">
      <c r="A21" s="78" t="s">
        <v>55</v>
      </c>
      <c r="B21" s="79" t="s">
        <v>56</v>
      </c>
      <c r="C21" s="80">
        <f t="shared" si="1"/>
        <v>620.4</v>
      </c>
      <c r="D21" s="97"/>
      <c r="E21" s="82"/>
      <c r="F21" s="48"/>
    </row>
    <row r="22">
      <c r="A22" s="100" t="s">
        <v>59</v>
      </c>
      <c r="B22" s="101" t="s">
        <v>60</v>
      </c>
      <c r="C22" s="80">
        <f t="shared" si="1"/>
        <v>620.4</v>
      </c>
      <c r="D22" s="97"/>
      <c r="E22" s="82"/>
      <c r="F22" s="48"/>
    </row>
    <row r="23">
      <c r="A23" s="78" t="s">
        <v>61</v>
      </c>
      <c r="B23" s="79" t="s">
        <v>62</v>
      </c>
      <c r="C23" s="80">
        <f t="shared" si="1"/>
        <v>620.4</v>
      </c>
      <c r="D23" s="97"/>
      <c r="E23" s="82"/>
      <c r="F23" s="48"/>
    </row>
    <row r="24">
      <c r="A24" s="100" t="s">
        <v>63</v>
      </c>
      <c r="B24" s="101" t="s">
        <v>64</v>
      </c>
      <c r="C24" s="80">
        <f t="shared" si="1"/>
        <v>620.4</v>
      </c>
      <c r="D24" s="97"/>
      <c r="E24" s="82"/>
      <c r="F24" s="48"/>
    </row>
    <row r="25">
      <c r="A25" s="104" t="s">
        <v>69</v>
      </c>
      <c r="B25" s="105" t="s">
        <v>70</v>
      </c>
      <c r="C25" s="80">
        <f t="shared" si="1"/>
        <v>620.4</v>
      </c>
      <c r="D25" s="97"/>
      <c r="E25" s="82"/>
      <c r="F25" s="48"/>
    </row>
    <row r="26">
      <c r="A26" s="100" t="s">
        <v>73</v>
      </c>
      <c r="B26" s="101" t="s">
        <v>74</v>
      </c>
      <c r="C26" s="80">
        <f t="shared" si="1"/>
        <v>620.4</v>
      </c>
      <c r="D26" s="97"/>
      <c r="E26" s="82"/>
      <c r="F26" s="48"/>
    </row>
    <row r="27">
      <c r="A27" s="78" t="s">
        <v>85</v>
      </c>
      <c r="B27" s="79" t="s">
        <v>86</v>
      </c>
      <c r="C27" s="80"/>
      <c r="D27" s="97"/>
      <c r="E27" s="82" t="s">
        <v>120</v>
      </c>
      <c r="F27" s="48"/>
    </row>
    <row r="28">
      <c r="A28" s="100" t="s">
        <v>75</v>
      </c>
      <c r="B28" s="101" t="s">
        <v>76</v>
      </c>
      <c r="C28" s="80">
        <f>28.2*$B$7</f>
        <v>620.4</v>
      </c>
      <c r="D28" s="97"/>
      <c r="E28" s="82"/>
      <c r="F28" s="48"/>
    </row>
    <row r="29">
      <c r="A29" s="78" t="s">
        <v>77</v>
      </c>
      <c r="B29" s="79" t="s">
        <v>78</v>
      </c>
      <c r="C29" s="80"/>
      <c r="D29" s="97"/>
      <c r="E29" s="82" t="s">
        <v>120</v>
      </c>
      <c r="F29" s="48"/>
    </row>
    <row r="30">
      <c r="A30" s="107" t="s">
        <v>114</v>
      </c>
      <c r="B30" s="108" t="s">
        <v>115</v>
      </c>
      <c r="C30" s="109">
        <f>28.2*$B$7</f>
        <v>620.4</v>
      </c>
      <c r="D30" s="5"/>
      <c r="E30" s="5"/>
      <c r="F30" s="5"/>
    </row>
  </sheetData>
  <mergeCells count="25">
    <mergeCell ref="A1:D6"/>
    <mergeCell ref="E1:F1"/>
    <mergeCell ref="A8:C8"/>
    <mergeCell ref="E8:F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26:F26"/>
    <mergeCell ref="E27:F27"/>
    <mergeCell ref="E28:F28"/>
    <mergeCell ref="E29:F29"/>
    <mergeCell ref="E19:F19"/>
    <mergeCell ref="E20:F20"/>
    <mergeCell ref="E21:F21"/>
    <mergeCell ref="E22:F22"/>
    <mergeCell ref="E23:F23"/>
    <mergeCell ref="E24:F24"/>
    <mergeCell ref="E25:F25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2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63"/>
    <col customWidth="1" min="4" max="4" width="8.75"/>
    <col customWidth="1" min="6" max="6" width="19.63"/>
  </cols>
  <sheetData>
    <row r="1">
      <c r="A1" s="13" t="s">
        <v>87</v>
      </c>
      <c r="E1" s="14" t="s">
        <v>3</v>
      </c>
      <c r="F1" s="15"/>
    </row>
    <row r="2">
      <c r="A2" s="19"/>
      <c r="E2" s="5"/>
      <c r="F2" s="10"/>
    </row>
    <row r="3">
      <c r="A3" s="19"/>
      <c r="E3" s="18"/>
      <c r="F3" s="26">
        <f>SUM(C10:C29)</f>
        <v>9757.2</v>
      </c>
    </row>
    <row r="4">
      <c r="A4" s="19"/>
      <c r="E4" s="31"/>
      <c r="F4" s="34"/>
    </row>
    <row r="5">
      <c r="A5" s="19"/>
      <c r="E5" s="36" t="s">
        <v>14</v>
      </c>
      <c r="F5" s="37">
        <f>F3</f>
        <v>9757.2</v>
      </c>
    </row>
    <row r="6">
      <c r="A6" s="19"/>
      <c r="E6" s="39"/>
      <c r="F6" s="10"/>
    </row>
    <row r="7">
      <c r="A7" s="40">
        <v>28.2</v>
      </c>
      <c r="B7" s="41">
        <v>21.0</v>
      </c>
      <c r="C7" s="43" t="s">
        <v>21</v>
      </c>
      <c r="D7" s="110" t="s">
        <v>117</v>
      </c>
      <c r="E7" s="5"/>
      <c r="F7" s="10"/>
    </row>
    <row r="8">
      <c r="A8" s="42" t="s">
        <v>118</v>
      </c>
      <c r="D8" s="45"/>
      <c r="E8" s="47" t="s">
        <v>24</v>
      </c>
      <c r="F8" s="48"/>
    </row>
    <row r="9">
      <c r="A9" s="49" t="s">
        <v>25</v>
      </c>
      <c r="B9" s="50" t="s">
        <v>26</v>
      </c>
      <c r="C9" s="50" t="s">
        <v>119</v>
      </c>
      <c r="D9" s="51"/>
      <c r="E9" s="54" t="s">
        <v>28</v>
      </c>
      <c r="F9" s="48"/>
    </row>
    <row r="10">
      <c r="A10" s="78" t="s">
        <v>29</v>
      </c>
      <c r="B10" s="79" t="s">
        <v>30</v>
      </c>
      <c r="C10" s="80">
        <f t="shared" ref="C10:C14" si="1">28.2*$B$7</f>
        <v>592.2</v>
      </c>
      <c r="D10" s="97"/>
      <c r="E10" s="82"/>
      <c r="F10" s="48"/>
    </row>
    <row r="11">
      <c r="A11" s="83" t="s">
        <v>31</v>
      </c>
      <c r="B11" s="84" t="s">
        <v>32</v>
      </c>
      <c r="C11" s="80">
        <f t="shared" si="1"/>
        <v>592.2</v>
      </c>
      <c r="D11" s="97"/>
      <c r="E11" s="82"/>
      <c r="F11" s="48"/>
    </row>
    <row r="12">
      <c r="A12" s="78" t="s">
        <v>33</v>
      </c>
      <c r="B12" s="79" t="s">
        <v>34</v>
      </c>
      <c r="C12" s="80">
        <f t="shared" si="1"/>
        <v>592.2</v>
      </c>
      <c r="D12" s="97"/>
      <c r="E12" s="82"/>
      <c r="F12" s="48"/>
    </row>
    <row r="13">
      <c r="A13" s="83" t="s">
        <v>35</v>
      </c>
      <c r="B13" s="84" t="s">
        <v>36</v>
      </c>
      <c r="C13" s="80">
        <f t="shared" si="1"/>
        <v>592.2</v>
      </c>
      <c r="D13" s="97"/>
      <c r="E13" s="82"/>
      <c r="F13" s="48"/>
    </row>
    <row r="14">
      <c r="A14" s="78" t="s">
        <v>39</v>
      </c>
      <c r="B14" s="79" t="s">
        <v>40</v>
      </c>
      <c r="C14" s="80">
        <f t="shared" si="1"/>
        <v>592.2</v>
      </c>
      <c r="D14" s="97"/>
      <c r="E14" s="82"/>
      <c r="F14" s="48"/>
    </row>
    <row r="15">
      <c r="A15" s="78" t="s">
        <v>43</v>
      </c>
      <c r="B15" s="79" t="s">
        <v>44</v>
      </c>
      <c r="C15" s="80">
        <f>28.2*10</f>
        <v>282</v>
      </c>
      <c r="D15" s="111">
        <v>10.0</v>
      </c>
      <c r="E15" s="82" t="s">
        <v>121</v>
      </c>
      <c r="F15" s="48"/>
    </row>
    <row r="16">
      <c r="A16" s="83" t="s">
        <v>47</v>
      </c>
      <c r="B16" s="84" t="s">
        <v>48</v>
      </c>
      <c r="C16" s="80">
        <f>C15+28.2</f>
        <v>310.2</v>
      </c>
      <c r="D16" s="111">
        <v>11.0</v>
      </c>
      <c r="E16" s="82" t="s">
        <v>122</v>
      </c>
      <c r="F16" s="48"/>
    </row>
    <row r="17">
      <c r="A17" s="85" t="s">
        <v>100</v>
      </c>
      <c r="B17" s="87" t="s">
        <v>101</v>
      </c>
      <c r="C17" s="80">
        <f t="shared" ref="C17:C21" si="2">28.2*$B$7</f>
        <v>592.2</v>
      </c>
      <c r="D17" s="97"/>
      <c r="E17" s="82"/>
      <c r="F17" s="48"/>
      <c r="H17" s="103" t="str">
        <f>H172</f>
        <v/>
      </c>
    </row>
    <row r="18">
      <c r="A18" s="78" t="s">
        <v>80</v>
      </c>
      <c r="B18" s="79" t="s">
        <v>81</v>
      </c>
      <c r="C18" s="80">
        <f t="shared" si="2"/>
        <v>592.2</v>
      </c>
      <c r="D18" s="97"/>
      <c r="E18" s="82"/>
      <c r="F18" s="48"/>
    </row>
    <row r="19">
      <c r="A19" s="100" t="s">
        <v>53</v>
      </c>
      <c r="B19" s="101" t="s">
        <v>54</v>
      </c>
      <c r="C19" s="80">
        <f t="shared" si="2"/>
        <v>592.2</v>
      </c>
      <c r="D19" s="97"/>
      <c r="E19" s="82"/>
      <c r="F19" s="48"/>
    </row>
    <row r="20">
      <c r="A20" s="78" t="s">
        <v>55</v>
      </c>
      <c r="B20" s="79" t="s">
        <v>56</v>
      </c>
      <c r="C20" s="80">
        <f t="shared" si="2"/>
        <v>592.2</v>
      </c>
      <c r="D20" s="97"/>
      <c r="E20" s="82"/>
      <c r="F20" s="48"/>
    </row>
    <row r="21">
      <c r="A21" s="100" t="s">
        <v>59</v>
      </c>
      <c r="B21" s="101" t="s">
        <v>60</v>
      </c>
      <c r="C21" s="80">
        <f t="shared" si="2"/>
        <v>592.2</v>
      </c>
      <c r="D21" s="97"/>
      <c r="E21" s="82"/>
      <c r="F21" s="48"/>
    </row>
    <row r="22">
      <c r="A22" s="78" t="s">
        <v>61</v>
      </c>
      <c r="B22" s="79" t="s">
        <v>62</v>
      </c>
      <c r="C22" s="80">
        <f>A7*16</f>
        <v>451.2</v>
      </c>
      <c r="D22" s="111">
        <v>16.0</v>
      </c>
      <c r="E22" s="82" t="s">
        <v>123</v>
      </c>
      <c r="F22" s="48"/>
    </row>
    <row r="23">
      <c r="A23" s="100" t="s">
        <v>63</v>
      </c>
      <c r="B23" s="101" t="s">
        <v>64</v>
      </c>
      <c r="C23" s="80">
        <f t="shared" ref="C23:C24" si="3">28.2*$B$7</f>
        <v>592.2</v>
      </c>
      <c r="D23" s="97"/>
      <c r="E23" s="82"/>
      <c r="F23" s="48"/>
    </row>
    <row r="24">
      <c r="A24" s="104" t="s">
        <v>69</v>
      </c>
      <c r="B24" s="105" t="s">
        <v>70</v>
      </c>
      <c r="C24" s="80">
        <f t="shared" si="3"/>
        <v>592.2</v>
      </c>
      <c r="D24" s="97"/>
      <c r="E24" s="82"/>
      <c r="F24" s="48"/>
    </row>
    <row r="25">
      <c r="A25" s="100" t="s">
        <v>73</v>
      </c>
      <c r="B25" s="101" t="s">
        <v>74</v>
      </c>
      <c r="C25" s="80">
        <f>28.2*15</f>
        <v>423</v>
      </c>
      <c r="D25" s="111">
        <v>15.0</v>
      </c>
      <c r="E25" s="82" t="s">
        <v>124</v>
      </c>
      <c r="F25" s="48"/>
    </row>
    <row r="26">
      <c r="A26" s="78" t="s">
        <v>85</v>
      </c>
      <c r="B26" s="79" t="s">
        <v>86</v>
      </c>
      <c r="C26" s="80">
        <v>0.0</v>
      </c>
      <c r="D26" s="97"/>
      <c r="E26" s="82" t="s">
        <v>125</v>
      </c>
      <c r="F26" s="48"/>
    </row>
    <row r="27">
      <c r="A27" s="100" t="s">
        <v>75</v>
      </c>
      <c r="B27" s="101" t="s">
        <v>76</v>
      </c>
      <c r="C27" s="80">
        <f>28.2*$B$7</f>
        <v>592.2</v>
      </c>
      <c r="D27" s="97"/>
      <c r="E27" s="82"/>
      <c r="F27" s="48"/>
    </row>
    <row r="28">
      <c r="A28" s="78" t="s">
        <v>77</v>
      </c>
      <c r="B28" s="79" t="s">
        <v>78</v>
      </c>
      <c r="C28" s="80">
        <v>0.0</v>
      </c>
      <c r="D28" s="97"/>
      <c r="E28" s="82" t="s">
        <v>125</v>
      </c>
      <c r="F28" s="48"/>
    </row>
    <row r="29">
      <c r="A29" s="107" t="s">
        <v>114</v>
      </c>
      <c r="B29" s="108" t="s">
        <v>115</v>
      </c>
      <c r="C29" s="109">
        <f>28.2*$B$7</f>
        <v>592.2</v>
      </c>
      <c r="D29" s="5"/>
      <c r="E29" s="5"/>
      <c r="F29" s="5"/>
    </row>
  </sheetData>
  <mergeCells count="24">
    <mergeCell ref="A1:D6"/>
    <mergeCell ref="E1:F1"/>
    <mergeCell ref="A8:C8"/>
    <mergeCell ref="E8:F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26:F26"/>
    <mergeCell ref="E27:F27"/>
    <mergeCell ref="E28:F28"/>
    <mergeCell ref="E19:F19"/>
    <mergeCell ref="E20:F20"/>
    <mergeCell ref="E21:F21"/>
    <mergeCell ref="E22:F22"/>
    <mergeCell ref="E23:F23"/>
    <mergeCell ref="E24:F24"/>
    <mergeCell ref="E25:F25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2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63"/>
    <col customWidth="1" min="4" max="4" width="8.75"/>
    <col customWidth="1" min="5" max="5" width="51.25"/>
    <col customWidth="1" min="6" max="6" width="7.75"/>
  </cols>
  <sheetData>
    <row r="1">
      <c r="A1" s="13" t="s">
        <v>87</v>
      </c>
      <c r="E1" s="14" t="s">
        <v>3</v>
      </c>
      <c r="F1" s="15"/>
    </row>
    <row r="2">
      <c r="A2" s="19"/>
      <c r="E2" s="5"/>
      <c r="F2" s="10"/>
    </row>
    <row r="3">
      <c r="A3" s="19"/>
      <c r="E3" s="18"/>
      <c r="F3" s="26">
        <f>SUM(C10:C33)</f>
        <v>11731.2</v>
      </c>
    </row>
    <row r="4">
      <c r="A4" s="19"/>
      <c r="E4" s="31"/>
      <c r="F4" s="34"/>
    </row>
    <row r="5">
      <c r="A5" s="19"/>
      <c r="E5" s="36" t="s">
        <v>14</v>
      </c>
      <c r="F5" s="37">
        <f>F3</f>
        <v>11731.2</v>
      </c>
    </row>
    <row r="6">
      <c r="A6" s="19"/>
      <c r="E6" s="39"/>
      <c r="F6" s="10"/>
    </row>
    <row r="7">
      <c r="A7" s="40">
        <v>28.2</v>
      </c>
      <c r="B7" s="41">
        <v>21.0</v>
      </c>
      <c r="C7" s="43" t="s">
        <v>21</v>
      </c>
      <c r="D7" s="110" t="s">
        <v>117</v>
      </c>
      <c r="E7" s="5"/>
      <c r="F7" s="10"/>
    </row>
    <row r="8">
      <c r="A8" s="42" t="s">
        <v>126</v>
      </c>
      <c r="D8" s="45"/>
      <c r="E8" s="47" t="s">
        <v>24</v>
      </c>
      <c r="F8" s="48"/>
    </row>
    <row r="9">
      <c r="A9" s="49" t="s">
        <v>25</v>
      </c>
      <c r="B9" s="50" t="s">
        <v>26</v>
      </c>
      <c r="C9" s="50" t="s">
        <v>119</v>
      </c>
      <c r="D9" s="51"/>
      <c r="E9" s="54" t="s">
        <v>28</v>
      </c>
      <c r="F9" s="48"/>
    </row>
    <row r="10">
      <c r="A10" s="78" t="s">
        <v>29</v>
      </c>
      <c r="B10" s="79" t="s">
        <v>30</v>
      </c>
      <c r="C10" s="80">
        <f>28.2*$B$7</f>
        <v>592.2</v>
      </c>
      <c r="D10" s="97"/>
      <c r="E10" s="82"/>
      <c r="F10" s="48"/>
    </row>
    <row r="11">
      <c r="A11" s="83" t="s">
        <v>31</v>
      </c>
      <c r="B11" s="84" t="s">
        <v>32</v>
      </c>
      <c r="C11" s="80">
        <v>0.0</v>
      </c>
      <c r="D11" s="111">
        <v>21.0</v>
      </c>
      <c r="E11" s="82" t="s">
        <v>127</v>
      </c>
      <c r="F11" s="48"/>
    </row>
    <row r="12">
      <c r="A12" s="78" t="s">
        <v>33</v>
      </c>
      <c r="B12" s="79" t="s">
        <v>34</v>
      </c>
      <c r="C12" s="80">
        <f>28.2*6</f>
        <v>169.2</v>
      </c>
      <c r="D12" s="111">
        <v>15.0</v>
      </c>
      <c r="E12" s="82" t="s">
        <v>128</v>
      </c>
      <c r="F12" s="48"/>
    </row>
    <row r="13">
      <c r="A13" s="83" t="s">
        <v>35</v>
      </c>
      <c r="B13" s="84" t="s">
        <v>36</v>
      </c>
      <c r="C13" s="80">
        <f>28.2*$B$7</f>
        <v>592.2</v>
      </c>
      <c r="D13" s="97"/>
      <c r="E13" s="82"/>
      <c r="F13" s="48"/>
    </row>
    <row r="14">
      <c r="A14" s="78" t="s">
        <v>39</v>
      </c>
      <c r="B14" s="79" t="s">
        <v>40</v>
      </c>
      <c r="C14" s="80">
        <f>28.2*11</f>
        <v>310.2</v>
      </c>
      <c r="D14" s="111">
        <v>10.0</v>
      </c>
      <c r="E14" s="82" t="s">
        <v>129</v>
      </c>
      <c r="F14" s="48"/>
    </row>
    <row r="15">
      <c r="A15" s="78" t="s">
        <v>43</v>
      </c>
      <c r="B15" s="79" t="s">
        <v>44</v>
      </c>
      <c r="C15" s="80">
        <f t="shared" ref="C15:C21" si="1">28.2*$B$7</f>
        <v>592.2</v>
      </c>
      <c r="D15" s="111"/>
      <c r="E15" s="82"/>
      <c r="F15" s="48"/>
    </row>
    <row r="16">
      <c r="A16" s="83" t="s">
        <v>47</v>
      </c>
      <c r="B16" s="84" t="s">
        <v>48</v>
      </c>
      <c r="C16" s="80">
        <f t="shared" si="1"/>
        <v>592.2</v>
      </c>
      <c r="D16" s="111"/>
      <c r="E16" s="82"/>
      <c r="F16" s="48"/>
    </row>
    <row r="17">
      <c r="A17" s="85" t="s">
        <v>100</v>
      </c>
      <c r="B17" s="87" t="s">
        <v>101</v>
      </c>
      <c r="C17" s="80">
        <f t="shared" si="1"/>
        <v>592.2</v>
      </c>
      <c r="D17" s="97"/>
      <c r="E17" s="82"/>
      <c r="F17" s="48"/>
      <c r="H17" s="103" t="str">
        <f>H172</f>
        <v/>
      </c>
    </row>
    <row r="18">
      <c r="A18" s="78" t="s">
        <v>80</v>
      </c>
      <c r="B18" s="79" t="s">
        <v>81</v>
      </c>
      <c r="C18" s="80">
        <f t="shared" si="1"/>
        <v>592.2</v>
      </c>
      <c r="D18" s="97"/>
      <c r="E18" s="82"/>
      <c r="F18" s="48"/>
    </row>
    <row r="19">
      <c r="A19" s="100" t="s">
        <v>53</v>
      </c>
      <c r="B19" s="101" t="s">
        <v>54</v>
      </c>
      <c r="C19" s="80">
        <f t="shared" si="1"/>
        <v>592.2</v>
      </c>
      <c r="D19" s="97"/>
      <c r="E19" s="82"/>
      <c r="F19" s="48"/>
    </row>
    <row r="20">
      <c r="A20" s="78" t="s">
        <v>55</v>
      </c>
      <c r="B20" s="79" t="s">
        <v>56</v>
      </c>
      <c r="C20" s="80">
        <f t="shared" si="1"/>
        <v>592.2</v>
      </c>
      <c r="D20" s="97"/>
      <c r="E20" s="82"/>
      <c r="F20" s="48"/>
    </row>
    <row r="21">
      <c r="A21" s="100" t="s">
        <v>59</v>
      </c>
      <c r="B21" s="101" t="s">
        <v>60</v>
      </c>
      <c r="C21" s="80">
        <f t="shared" si="1"/>
        <v>592.2</v>
      </c>
      <c r="D21" s="97"/>
      <c r="E21" s="82"/>
      <c r="F21" s="48"/>
    </row>
    <row r="22">
      <c r="A22" s="78" t="s">
        <v>61</v>
      </c>
      <c r="B22" s="79" t="s">
        <v>62</v>
      </c>
      <c r="C22" s="80">
        <v>0.0</v>
      </c>
      <c r="D22" s="111">
        <v>21.0</v>
      </c>
      <c r="E22" s="82" t="s">
        <v>131</v>
      </c>
      <c r="F22" s="48"/>
    </row>
    <row r="23">
      <c r="A23" s="100" t="s">
        <v>63</v>
      </c>
      <c r="B23" s="101" t="s">
        <v>64</v>
      </c>
      <c r="C23" s="80">
        <f>28.2*$B$7</f>
        <v>592.2</v>
      </c>
      <c r="D23" s="97"/>
      <c r="E23" s="82"/>
      <c r="F23" s="48"/>
    </row>
    <row r="24">
      <c r="A24" s="112" t="s">
        <v>69</v>
      </c>
      <c r="B24" s="113" t="s">
        <v>70</v>
      </c>
      <c r="C24" s="80">
        <v>0.0</v>
      </c>
      <c r="D24" s="111">
        <v>21.0</v>
      </c>
      <c r="E24" s="82" t="s">
        <v>127</v>
      </c>
      <c r="F24" s="48"/>
    </row>
    <row r="25">
      <c r="A25" s="100" t="s">
        <v>73</v>
      </c>
      <c r="B25" s="101" t="s">
        <v>74</v>
      </c>
      <c r="C25" s="80">
        <f t="shared" ref="C25:C33" si="2">28.2*$B$7</f>
        <v>592.2</v>
      </c>
      <c r="D25" s="111"/>
      <c r="E25" s="82"/>
      <c r="F25" s="48"/>
    </row>
    <row r="26">
      <c r="A26" s="78" t="s">
        <v>85</v>
      </c>
      <c r="B26" s="79" t="s">
        <v>86</v>
      </c>
      <c r="C26" s="80">
        <f t="shared" si="2"/>
        <v>592.2</v>
      </c>
      <c r="D26" s="97"/>
      <c r="E26" s="82"/>
      <c r="F26" s="48"/>
    </row>
    <row r="27">
      <c r="A27" s="100" t="s">
        <v>75</v>
      </c>
      <c r="B27" s="101" t="s">
        <v>76</v>
      </c>
      <c r="C27" s="80">
        <f t="shared" si="2"/>
        <v>592.2</v>
      </c>
      <c r="D27" s="97"/>
      <c r="E27" s="82"/>
      <c r="F27" s="48"/>
    </row>
    <row r="28">
      <c r="A28" s="78" t="s">
        <v>77</v>
      </c>
      <c r="B28" s="79" t="s">
        <v>78</v>
      </c>
      <c r="C28" s="80">
        <f t="shared" si="2"/>
        <v>592.2</v>
      </c>
      <c r="D28" s="97"/>
      <c r="E28" s="82"/>
      <c r="F28" s="48"/>
    </row>
    <row r="29">
      <c r="A29" s="107" t="s">
        <v>114</v>
      </c>
      <c r="B29" s="108" t="s">
        <v>115</v>
      </c>
      <c r="C29" s="80">
        <f t="shared" si="2"/>
        <v>592.2</v>
      </c>
      <c r="D29" s="5"/>
      <c r="E29" s="82"/>
      <c r="F29" s="48"/>
    </row>
    <row r="30">
      <c r="A30" s="114" t="s">
        <v>134</v>
      </c>
      <c r="B30" s="114" t="s">
        <v>135</v>
      </c>
      <c r="C30" s="115">
        <f t="shared" si="2"/>
        <v>592.2</v>
      </c>
      <c r="E30" s="82"/>
      <c r="F30" s="48"/>
    </row>
    <row r="31">
      <c r="A31" s="116" t="s">
        <v>137</v>
      </c>
      <c r="B31" s="116" t="s">
        <v>138</v>
      </c>
      <c r="C31" s="80">
        <f t="shared" si="2"/>
        <v>592.2</v>
      </c>
      <c r="E31" s="82"/>
      <c r="F31" s="48"/>
    </row>
    <row r="32">
      <c r="A32" s="114" t="s">
        <v>139</v>
      </c>
      <c r="B32" s="114" t="s">
        <v>140</v>
      </c>
      <c r="C32" s="115">
        <f t="shared" si="2"/>
        <v>592.2</v>
      </c>
      <c r="E32" s="82"/>
      <c r="F32" s="48"/>
    </row>
    <row r="33">
      <c r="A33" s="116" t="s">
        <v>141</v>
      </c>
      <c r="B33" s="116" t="s">
        <v>142</v>
      </c>
      <c r="C33" s="80">
        <f t="shared" si="2"/>
        <v>592.2</v>
      </c>
      <c r="E33" s="82"/>
      <c r="F33" s="48"/>
    </row>
  </sheetData>
  <mergeCells count="30">
    <mergeCell ref="A1:D6"/>
    <mergeCell ref="E1:F1"/>
    <mergeCell ref="A8:C8"/>
    <mergeCell ref="E8:F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33:F33"/>
    <mergeCell ref="E34:F34"/>
    <mergeCell ref="E26:F26"/>
    <mergeCell ref="E27:F27"/>
    <mergeCell ref="E28:F28"/>
    <mergeCell ref="E29:F29"/>
    <mergeCell ref="E30:F30"/>
    <mergeCell ref="E31:F31"/>
    <mergeCell ref="E32:F32"/>
  </mergeCells>
  <printOptions gridLines="1" horizontalCentered="1"/>
  <pageMargins bottom="0.75" footer="0.0" header="0.0" left="0.25" right="0.25" top="0.75"/>
  <pageSetup fitToWidth="0" paperSize="9" cellComments="atEnd" orientation="landscape" pageOrder="overThenDown"/>
  <drawing r:id="rId2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63"/>
    <col customWidth="1" min="4" max="4" width="8.75"/>
    <col customWidth="1" min="5" max="5" width="51.25"/>
    <col customWidth="1" min="6" max="6" width="7.75"/>
  </cols>
  <sheetData>
    <row r="1">
      <c r="A1" s="13" t="s">
        <v>87</v>
      </c>
      <c r="E1" s="14" t="s">
        <v>3</v>
      </c>
      <c r="F1" s="15"/>
    </row>
    <row r="2">
      <c r="A2" s="19"/>
      <c r="E2" s="5"/>
      <c r="F2" s="10"/>
    </row>
    <row r="3">
      <c r="A3" s="19"/>
      <c r="E3" s="18"/>
      <c r="F3" s="26">
        <f>SUM(C10:C31)</f>
        <v>13395</v>
      </c>
    </row>
    <row r="4">
      <c r="A4" s="19"/>
      <c r="E4" s="31"/>
      <c r="F4" s="34"/>
    </row>
    <row r="5">
      <c r="A5" s="19"/>
      <c r="E5" s="36" t="s">
        <v>14</v>
      </c>
      <c r="F5" s="37">
        <f>F3</f>
        <v>13395</v>
      </c>
    </row>
    <row r="6">
      <c r="A6" s="19"/>
      <c r="E6" s="39"/>
      <c r="F6" s="10"/>
    </row>
    <row r="7">
      <c r="A7" s="40">
        <v>28.2</v>
      </c>
      <c r="B7" s="41">
        <v>23.0</v>
      </c>
      <c r="C7" s="43" t="s">
        <v>21</v>
      </c>
      <c r="D7" s="110" t="s">
        <v>117</v>
      </c>
      <c r="E7" s="5"/>
      <c r="F7" s="10"/>
    </row>
    <row r="8">
      <c r="A8" s="42" t="s">
        <v>130</v>
      </c>
      <c r="D8" s="45"/>
      <c r="E8" s="47" t="s">
        <v>24</v>
      </c>
      <c r="F8" s="48"/>
    </row>
    <row r="9">
      <c r="A9" s="49" t="s">
        <v>25</v>
      </c>
      <c r="B9" s="50" t="s">
        <v>26</v>
      </c>
      <c r="C9" s="50" t="s">
        <v>119</v>
      </c>
      <c r="D9" s="51"/>
      <c r="E9" s="54" t="s">
        <v>28</v>
      </c>
      <c r="F9" s="48"/>
    </row>
    <row r="10">
      <c r="A10" s="78" t="s">
        <v>29</v>
      </c>
      <c r="B10" s="79" t="s">
        <v>30</v>
      </c>
      <c r="C10" s="80">
        <f t="shared" ref="C10:C18" si="1">28.2*$B$7</f>
        <v>648.6</v>
      </c>
      <c r="D10" s="97"/>
      <c r="E10" s="82"/>
      <c r="F10" s="48"/>
    </row>
    <row r="11">
      <c r="A11" s="83" t="s">
        <v>31</v>
      </c>
      <c r="B11" s="84" t="s">
        <v>32</v>
      </c>
      <c r="C11" s="80">
        <f t="shared" si="1"/>
        <v>648.6</v>
      </c>
      <c r="D11" s="111"/>
      <c r="E11" s="82"/>
      <c r="F11" s="48"/>
    </row>
    <row r="12">
      <c r="A12" s="78" t="s">
        <v>33</v>
      </c>
      <c r="B12" s="79" t="s">
        <v>34</v>
      </c>
      <c r="C12" s="80">
        <f t="shared" si="1"/>
        <v>648.6</v>
      </c>
      <c r="D12" s="111"/>
      <c r="E12" s="82"/>
      <c r="F12" s="48"/>
    </row>
    <row r="13">
      <c r="A13" s="83" t="s">
        <v>35</v>
      </c>
      <c r="B13" s="84" t="s">
        <v>36</v>
      </c>
      <c r="C13" s="80">
        <f t="shared" si="1"/>
        <v>648.6</v>
      </c>
      <c r="D13" s="97"/>
      <c r="E13" s="82"/>
      <c r="F13" s="48"/>
    </row>
    <row r="14">
      <c r="A14" s="78" t="s">
        <v>39</v>
      </c>
      <c r="B14" s="79" t="s">
        <v>40</v>
      </c>
      <c r="C14" s="80">
        <f t="shared" si="1"/>
        <v>648.6</v>
      </c>
      <c r="D14" s="111"/>
      <c r="E14" s="82"/>
      <c r="F14" s="48"/>
    </row>
    <row r="15">
      <c r="A15" s="78" t="s">
        <v>43</v>
      </c>
      <c r="B15" s="79" t="s">
        <v>44</v>
      </c>
      <c r="C15" s="80">
        <f t="shared" si="1"/>
        <v>648.6</v>
      </c>
      <c r="D15" s="111"/>
      <c r="E15" s="82"/>
      <c r="F15" s="48"/>
    </row>
    <row r="16">
      <c r="A16" s="83" t="s">
        <v>47</v>
      </c>
      <c r="B16" s="84" t="s">
        <v>48</v>
      </c>
      <c r="C16" s="80">
        <f t="shared" si="1"/>
        <v>648.6</v>
      </c>
      <c r="D16" s="111"/>
      <c r="E16" s="82"/>
      <c r="F16" s="48"/>
    </row>
    <row r="17">
      <c r="A17" s="85" t="s">
        <v>100</v>
      </c>
      <c r="B17" s="87" t="s">
        <v>101</v>
      </c>
      <c r="C17" s="80">
        <f t="shared" si="1"/>
        <v>648.6</v>
      </c>
      <c r="D17" s="97"/>
      <c r="E17" s="82"/>
      <c r="F17" s="48"/>
      <c r="H17" s="103" t="str">
        <f>H170</f>
        <v/>
      </c>
    </row>
    <row r="18">
      <c r="A18" s="78" t="s">
        <v>80</v>
      </c>
      <c r="B18" s="79" t="s">
        <v>81</v>
      </c>
      <c r="C18" s="80">
        <f t="shared" si="1"/>
        <v>648.6</v>
      </c>
      <c r="D18" s="97"/>
      <c r="E18" s="82"/>
      <c r="F18" s="48"/>
    </row>
    <row r="19">
      <c r="A19" s="100" t="s">
        <v>53</v>
      </c>
      <c r="B19" s="101" t="s">
        <v>54</v>
      </c>
      <c r="C19" s="80">
        <f>28.2*8</f>
        <v>225.6</v>
      </c>
      <c r="D19" s="97"/>
      <c r="E19" s="82" t="s">
        <v>132</v>
      </c>
      <c r="F19" s="48"/>
    </row>
    <row r="20">
      <c r="A20" s="78" t="s">
        <v>55</v>
      </c>
      <c r="B20" s="79" t="s">
        <v>56</v>
      </c>
      <c r="C20" s="80">
        <f t="shared" ref="C20:C26" si="2">28.2*$B$7</f>
        <v>648.6</v>
      </c>
      <c r="D20" s="97"/>
      <c r="E20" s="82"/>
      <c r="F20" s="48"/>
    </row>
    <row r="21">
      <c r="A21" s="100" t="s">
        <v>59</v>
      </c>
      <c r="B21" s="101" t="s">
        <v>60</v>
      </c>
      <c r="C21" s="80">
        <f t="shared" si="2"/>
        <v>648.6</v>
      </c>
      <c r="D21" s="97"/>
      <c r="E21" s="82"/>
      <c r="F21" s="48"/>
    </row>
    <row r="22">
      <c r="A22" s="78" t="s">
        <v>61</v>
      </c>
      <c r="B22" s="79" t="s">
        <v>62</v>
      </c>
      <c r="C22" s="80">
        <f t="shared" si="2"/>
        <v>648.6</v>
      </c>
      <c r="D22" s="111"/>
      <c r="E22" s="82"/>
      <c r="F22" s="48"/>
    </row>
    <row r="23">
      <c r="A23" s="100" t="s">
        <v>63</v>
      </c>
      <c r="B23" s="101" t="s">
        <v>64</v>
      </c>
      <c r="C23" s="80">
        <f t="shared" si="2"/>
        <v>648.6</v>
      </c>
      <c r="D23" s="97"/>
      <c r="E23" s="82"/>
      <c r="F23" s="48"/>
    </row>
    <row r="24">
      <c r="A24" s="112" t="s">
        <v>69</v>
      </c>
      <c r="B24" s="113" t="s">
        <v>70</v>
      </c>
      <c r="C24" s="80">
        <f t="shared" si="2"/>
        <v>648.6</v>
      </c>
      <c r="D24" s="111"/>
      <c r="E24" s="82"/>
      <c r="F24" s="48"/>
    </row>
    <row r="25">
      <c r="A25" s="100" t="s">
        <v>73</v>
      </c>
      <c r="B25" s="101" t="s">
        <v>74</v>
      </c>
      <c r="C25" s="80">
        <f t="shared" si="2"/>
        <v>648.6</v>
      </c>
      <c r="D25" s="111"/>
      <c r="E25" s="82"/>
      <c r="F25" s="48"/>
    </row>
    <row r="26">
      <c r="A26" s="78" t="s">
        <v>85</v>
      </c>
      <c r="B26" s="79" t="s">
        <v>86</v>
      </c>
      <c r="C26" s="80">
        <f t="shared" si="2"/>
        <v>648.6</v>
      </c>
      <c r="D26" s="97"/>
      <c r="E26" s="82"/>
      <c r="F26" s="48"/>
    </row>
    <row r="27">
      <c r="A27" s="100" t="s">
        <v>75</v>
      </c>
      <c r="B27" s="101" t="s">
        <v>76</v>
      </c>
      <c r="C27" s="80">
        <f>28.2*18</f>
        <v>507.6</v>
      </c>
      <c r="D27" s="97"/>
      <c r="E27" s="82" t="s">
        <v>133</v>
      </c>
      <c r="F27" s="48"/>
    </row>
    <row r="28">
      <c r="A28" s="78" t="s">
        <v>77</v>
      </c>
      <c r="B28" s="79" t="s">
        <v>78</v>
      </c>
      <c r="C28" s="80">
        <f>28.2*12</f>
        <v>338.4</v>
      </c>
      <c r="D28" s="97"/>
      <c r="E28" s="82" t="s">
        <v>136</v>
      </c>
      <c r="F28" s="48"/>
    </row>
    <row r="29">
      <c r="A29" s="107" t="s">
        <v>114</v>
      </c>
      <c r="B29" s="108" t="s">
        <v>115</v>
      </c>
      <c r="C29" s="80">
        <f t="shared" ref="C29:C31" si="3">28.2*$B$7</f>
        <v>648.6</v>
      </c>
      <c r="D29" s="5"/>
      <c r="E29" s="82"/>
      <c r="F29" s="48"/>
    </row>
    <row r="30">
      <c r="A30" s="114" t="s">
        <v>134</v>
      </c>
      <c r="B30" s="114" t="s">
        <v>135</v>
      </c>
      <c r="C30" s="80">
        <f t="shared" si="3"/>
        <v>648.6</v>
      </c>
      <c r="E30" s="82"/>
      <c r="F30" s="48"/>
    </row>
    <row r="31">
      <c r="A31" s="116" t="s">
        <v>139</v>
      </c>
      <c r="B31" s="116" t="s">
        <v>140</v>
      </c>
      <c r="C31" s="80">
        <f t="shared" si="3"/>
        <v>648.6</v>
      </c>
      <c r="E31" s="82"/>
      <c r="F31" s="48"/>
    </row>
  </sheetData>
  <mergeCells count="28">
    <mergeCell ref="A1:D6"/>
    <mergeCell ref="E1:F1"/>
    <mergeCell ref="A8:C8"/>
    <mergeCell ref="E8:F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26:F26"/>
    <mergeCell ref="E27:F27"/>
    <mergeCell ref="E28:F28"/>
    <mergeCell ref="E29:F29"/>
    <mergeCell ref="E30:F30"/>
    <mergeCell ref="E31:F31"/>
    <mergeCell ref="E32:F32"/>
    <mergeCell ref="E19:F19"/>
    <mergeCell ref="E20:F20"/>
    <mergeCell ref="E21:F21"/>
    <mergeCell ref="E22:F22"/>
    <mergeCell ref="E23:F23"/>
    <mergeCell ref="E24:F24"/>
    <mergeCell ref="E25:F25"/>
  </mergeCells>
  <printOptions gridLines="1" horizontalCentered="1"/>
  <pageMargins bottom="0.75" footer="0.0" header="0.0" left="0.25" right="0.25" top="0.75"/>
  <pageSetup paperSize="9" cellComments="atEnd" orientation="portrait" pageOrder="overThenDown"/>
  <drawing r:id="rId2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63"/>
    <col customWidth="1" min="4" max="4" width="8.75"/>
    <col customWidth="1" min="5" max="5" width="51.25"/>
    <col customWidth="1" min="6" max="6" width="7.75"/>
  </cols>
  <sheetData>
    <row r="1">
      <c r="A1" s="13" t="s">
        <v>87</v>
      </c>
      <c r="E1" s="14" t="s">
        <v>3</v>
      </c>
      <c r="F1" s="15"/>
    </row>
    <row r="2">
      <c r="A2" s="19"/>
      <c r="E2" s="5"/>
      <c r="F2" s="10"/>
    </row>
    <row r="3">
      <c r="A3" s="19"/>
      <c r="E3" s="18"/>
      <c r="F3" s="26">
        <f>SUM(C10:C33)</f>
        <v>12887.4</v>
      </c>
    </row>
    <row r="4">
      <c r="A4" s="19"/>
      <c r="E4" s="31"/>
      <c r="F4" s="34"/>
    </row>
    <row r="5">
      <c r="A5" s="19"/>
      <c r="E5" s="36" t="s">
        <v>14</v>
      </c>
      <c r="F5" s="37">
        <f>F3</f>
        <v>12887.4</v>
      </c>
    </row>
    <row r="6">
      <c r="A6" s="19"/>
      <c r="E6" s="39"/>
      <c r="F6" s="10"/>
    </row>
    <row r="7">
      <c r="A7" s="40">
        <v>28.2</v>
      </c>
      <c r="B7" s="41">
        <v>20.0</v>
      </c>
      <c r="C7" s="43" t="s">
        <v>21</v>
      </c>
      <c r="D7" s="110" t="s">
        <v>117</v>
      </c>
      <c r="E7" s="5"/>
      <c r="F7" s="10"/>
    </row>
    <row r="8">
      <c r="A8" s="42" t="s">
        <v>130</v>
      </c>
      <c r="D8" s="45"/>
      <c r="E8" s="47" t="s">
        <v>24</v>
      </c>
      <c r="F8" s="48"/>
    </row>
    <row r="9">
      <c r="A9" s="49" t="s">
        <v>25</v>
      </c>
      <c r="B9" s="50" t="s">
        <v>26</v>
      </c>
      <c r="C9" s="50" t="s">
        <v>119</v>
      </c>
      <c r="D9" s="51"/>
      <c r="E9" s="54" t="s">
        <v>28</v>
      </c>
      <c r="F9" s="48"/>
    </row>
    <row r="10">
      <c r="A10" s="78" t="s">
        <v>29</v>
      </c>
      <c r="B10" s="79" t="s">
        <v>30</v>
      </c>
      <c r="C10" s="80">
        <f t="shared" ref="C10:C12" si="1">28.2*$B$7</f>
        <v>564</v>
      </c>
      <c r="D10" s="97"/>
      <c r="E10" s="82"/>
      <c r="F10" s="48"/>
    </row>
    <row r="11">
      <c r="A11" s="83" t="s">
        <v>31</v>
      </c>
      <c r="B11" s="84" t="s">
        <v>32</v>
      </c>
      <c r="C11" s="80">
        <f t="shared" si="1"/>
        <v>564</v>
      </c>
      <c r="D11" s="111"/>
      <c r="E11" s="82"/>
      <c r="F11" s="48"/>
    </row>
    <row r="12">
      <c r="A12" s="78" t="s">
        <v>33</v>
      </c>
      <c r="B12" s="79" t="s">
        <v>34</v>
      </c>
      <c r="C12" s="80">
        <f t="shared" si="1"/>
        <v>564</v>
      </c>
      <c r="D12" s="111"/>
      <c r="E12" s="82"/>
      <c r="F12" s="48"/>
    </row>
    <row r="13">
      <c r="A13" s="83" t="s">
        <v>35</v>
      </c>
      <c r="B13" s="84" t="s">
        <v>36</v>
      </c>
      <c r="C13" s="80">
        <v>0.0</v>
      </c>
      <c r="D13" s="97"/>
      <c r="E13" s="82" t="s">
        <v>143</v>
      </c>
      <c r="F13" s="48"/>
    </row>
    <row r="14">
      <c r="A14" s="78" t="s">
        <v>39</v>
      </c>
      <c r="B14" s="79" t="s">
        <v>40</v>
      </c>
      <c r="C14" s="80">
        <f>28.2*17</f>
        <v>479.4</v>
      </c>
      <c r="D14" s="111"/>
      <c r="E14" s="82" t="s">
        <v>144</v>
      </c>
      <c r="F14" s="48"/>
    </row>
    <row r="15">
      <c r="A15" s="78" t="s">
        <v>43</v>
      </c>
      <c r="B15" s="79" t="s">
        <v>44</v>
      </c>
      <c r="C15" s="80">
        <f t="shared" ref="C15:C33" si="2">28.2*$B$7</f>
        <v>564</v>
      </c>
      <c r="D15" s="111"/>
      <c r="E15" s="82"/>
      <c r="F15" s="48"/>
    </row>
    <row r="16">
      <c r="A16" s="83" t="s">
        <v>47</v>
      </c>
      <c r="B16" s="84" t="s">
        <v>48</v>
      </c>
      <c r="C16" s="80">
        <f t="shared" si="2"/>
        <v>564</v>
      </c>
      <c r="D16" s="111"/>
      <c r="E16" s="82"/>
      <c r="F16" s="48"/>
    </row>
    <row r="17">
      <c r="A17" s="85" t="s">
        <v>100</v>
      </c>
      <c r="B17" s="87" t="s">
        <v>101</v>
      </c>
      <c r="C17" s="80">
        <f t="shared" si="2"/>
        <v>564</v>
      </c>
      <c r="D17" s="97"/>
      <c r="E17" s="82"/>
      <c r="F17" s="48"/>
      <c r="H17" s="103" t="str">
        <f>H172</f>
        <v/>
      </c>
    </row>
    <row r="18">
      <c r="A18" s="78" t="s">
        <v>80</v>
      </c>
      <c r="B18" s="79" t="s">
        <v>81</v>
      </c>
      <c r="C18" s="80">
        <f t="shared" si="2"/>
        <v>564</v>
      </c>
      <c r="D18" s="97"/>
      <c r="E18" s="82"/>
      <c r="F18" s="48"/>
    </row>
    <row r="19">
      <c r="A19" s="100" t="s">
        <v>53</v>
      </c>
      <c r="B19" s="101" t="s">
        <v>54</v>
      </c>
      <c r="C19" s="80">
        <f t="shared" si="2"/>
        <v>564</v>
      </c>
      <c r="D19" s="97"/>
      <c r="E19" s="82"/>
      <c r="F19" s="48"/>
    </row>
    <row r="20">
      <c r="A20" s="78" t="s">
        <v>55</v>
      </c>
      <c r="B20" s="79" t="s">
        <v>56</v>
      </c>
      <c r="C20" s="80">
        <f t="shared" si="2"/>
        <v>564</v>
      </c>
      <c r="D20" s="97"/>
      <c r="E20" s="82"/>
      <c r="F20" s="48"/>
    </row>
    <row r="21">
      <c r="A21" s="100" t="s">
        <v>59</v>
      </c>
      <c r="B21" s="101" t="s">
        <v>60</v>
      </c>
      <c r="C21" s="80">
        <f t="shared" si="2"/>
        <v>564</v>
      </c>
      <c r="D21" s="97"/>
      <c r="E21" s="82"/>
      <c r="F21" s="48"/>
    </row>
    <row r="22">
      <c r="A22" s="78" t="s">
        <v>61</v>
      </c>
      <c r="B22" s="79" t="s">
        <v>62</v>
      </c>
      <c r="C22" s="80">
        <f t="shared" si="2"/>
        <v>564</v>
      </c>
      <c r="D22" s="111"/>
      <c r="E22" s="82"/>
      <c r="F22" s="48"/>
    </row>
    <row r="23">
      <c r="A23" s="100" t="s">
        <v>63</v>
      </c>
      <c r="B23" s="101" t="s">
        <v>64</v>
      </c>
      <c r="C23" s="80">
        <f t="shared" si="2"/>
        <v>564</v>
      </c>
      <c r="D23" s="97"/>
      <c r="E23" s="82"/>
      <c r="F23" s="48"/>
    </row>
    <row r="24">
      <c r="A24" s="112" t="s">
        <v>69</v>
      </c>
      <c r="B24" s="113" t="s">
        <v>70</v>
      </c>
      <c r="C24" s="80">
        <f t="shared" si="2"/>
        <v>564</v>
      </c>
      <c r="D24" s="111"/>
      <c r="E24" s="82"/>
      <c r="F24" s="48"/>
    </row>
    <row r="25">
      <c r="A25" s="100" t="s">
        <v>73</v>
      </c>
      <c r="B25" s="101" t="s">
        <v>74</v>
      </c>
      <c r="C25" s="80">
        <f t="shared" si="2"/>
        <v>564</v>
      </c>
      <c r="D25" s="111"/>
      <c r="E25" s="82"/>
      <c r="F25" s="48"/>
    </row>
    <row r="26">
      <c r="A26" s="78" t="s">
        <v>85</v>
      </c>
      <c r="B26" s="79" t="s">
        <v>86</v>
      </c>
      <c r="C26" s="80">
        <f t="shared" si="2"/>
        <v>564</v>
      </c>
      <c r="D26" s="97"/>
      <c r="E26" s="82"/>
      <c r="F26" s="48"/>
    </row>
    <row r="27">
      <c r="A27" s="100" t="s">
        <v>75</v>
      </c>
      <c r="B27" s="101" t="s">
        <v>76</v>
      </c>
      <c r="C27" s="80">
        <f t="shared" si="2"/>
        <v>564</v>
      </c>
      <c r="D27" s="97"/>
      <c r="E27" s="82"/>
      <c r="F27" s="48"/>
    </row>
    <row r="28">
      <c r="A28" s="78" t="s">
        <v>77</v>
      </c>
      <c r="B28" s="79" t="s">
        <v>78</v>
      </c>
      <c r="C28" s="80">
        <f t="shared" si="2"/>
        <v>564</v>
      </c>
      <c r="D28" s="97"/>
      <c r="E28" s="82"/>
      <c r="F28" s="48"/>
    </row>
    <row r="29">
      <c r="A29" s="107" t="s">
        <v>114</v>
      </c>
      <c r="B29" s="108" t="s">
        <v>115</v>
      </c>
      <c r="C29" s="80">
        <f t="shared" si="2"/>
        <v>564</v>
      </c>
      <c r="D29" s="5"/>
      <c r="E29" s="82"/>
      <c r="F29" s="48"/>
    </row>
    <row r="30">
      <c r="A30" s="114" t="s">
        <v>134</v>
      </c>
      <c r="B30" s="114" t="s">
        <v>135</v>
      </c>
      <c r="C30" s="80">
        <f t="shared" si="2"/>
        <v>564</v>
      </c>
      <c r="E30" s="82"/>
      <c r="F30" s="48"/>
    </row>
    <row r="31">
      <c r="A31" s="116" t="s">
        <v>137</v>
      </c>
      <c r="B31" s="116" t="s">
        <v>138</v>
      </c>
      <c r="C31" s="80">
        <f t="shared" si="2"/>
        <v>564</v>
      </c>
      <c r="E31" s="82"/>
      <c r="F31" s="48"/>
    </row>
    <row r="32">
      <c r="A32" s="114" t="s">
        <v>139</v>
      </c>
      <c r="B32" s="114" t="s">
        <v>140</v>
      </c>
      <c r="C32" s="80">
        <f t="shared" si="2"/>
        <v>564</v>
      </c>
      <c r="E32" s="82"/>
      <c r="F32" s="48"/>
    </row>
    <row r="33">
      <c r="A33" s="116" t="s">
        <v>141</v>
      </c>
      <c r="B33" s="116" t="s">
        <v>142</v>
      </c>
      <c r="C33" s="80">
        <f t="shared" si="2"/>
        <v>564</v>
      </c>
      <c r="E33" s="82"/>
      <c r="F33" s="48"/>
    </row>
  </sheetData>
  <mergeCells count="30">
    <mergeCell ref="A1:D6"/>
    <mergeCell ref="E1:F1"/>
    <mergeCell ref="A8:C8"/>
    <mergeCell ref="E8:F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33:F33"/>
    <mergeCell ref="E34:F34"/>
    <mergeCell ref="E26:F26"/>
    <mergeCell ref="E27:F27"/>
    <mergeCell ref="E28:F28"/>
    <mergeCell ref="E29:F29"/>
    <mergeCell ref="E30:F30"/>
    <mergeCell ref="E31:F31"/>
    <mergeCell ref="E32:F32"/>
  </mergeCells>
  <printOptions gridLines="1" horizontalCentered="1"/>
  <pageMargins bottom="0.75" footer="0.0" header="0.0" left="0.25" right="0.25" top="0.75"/>
  <pageSetup paperSize="9" cellComments="atEnd" orientation="portrait" pageOrder="overThenDown"/>
  <drawing r:id="rId2"/>
  <legacy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63"/>
    <col customWidth="1" min="4" max="4" width="8.75"/>
    <col customWidth="1" min="5" max="5" width="51.25"/>
    <col customWidth="1" min="6" max="6" width="7.75"/>
  </cols>
  <sheetData>
    <row r="1">
      <c r="A1" s="13" t="s">
        <v>87</v>
      </c>
      <c r="E1" s="14" t="s">
        <v>3</v>
      </c>
      <c r="F1" s="15"/>
    </row>
    <row r="2">
      <c r="A2" s="19"/>
      <c r="E2" s="5"/>
      <c r="F2" s="10"/>
    </row>
    <row r="3">
      <c r="A3" s="19"/>
      <c r="E3" s="18"/>
      <c r="F3" s="26">
        <f>SUM(C10:C33)</f>
        <v>15043.6</v>
      </c>
    </row>
    <row r="4">
      <c r="A4" s="19"/>
      <c r="E4" s="31"/>
      <c r="F4" s="34"/>
    </row>
    <row r="5">
      <c r="A5" s="19"/>
      <c r="E5" s="36" t="s">
        <v>14</v>
      </c>
      <c r="F5" s="37">
        <f>F3</f>
        <v>15043.6</v>
      </c>
    </row>
    <row r="6">
      <c r="A6" s="19"/>
      <c r="E6" s="39"/>
      <c r="F6" s="10"/>
    </row>
    <row r="7">
      <c r="A7" s="40">
        <v>29.6</v>
      </c>
      <c r="B7" s="41">
        <v>22.0</v>
      </c>
      <c r="C7" s="43" t="s">
        <v>21</v>
      </c>
      <c r="D7" s="110" t="s">
        <v>117</v>
      </c>
      <c r="E7" s="5"/>
      <c r="F7" s="10"/>
    </row>
    <row r="8">
      <c r="A8" s="42" t="s">
        <v>130</v>
      </c>
      <c r="D8" s="45"/>
      <c r="E8" s="47" t="s">
        <v>24</v>
      </c>
      <c r="F8" s="48"/>
    </row>
    <row r="9">
      <c r="A9" s="49" t="s">
        <v>25</v>
      </c>
      <c r="B9" s="50" t="s">
        <v>26</v>
      </c>
      <c r="C9" s="50" t="s">
        <v>119</v>
      </c>
      <c r="D9" s="51"/>
      <c r="E9" s="54" t="s">
        <v>28</v>
      </c>
      <c r="F9" s="48"/>
    </row>
    <row r="10">
      <c r="A10" s="78" t="s">
        <v>29</v>
      </c>
      <c r="B10" s="79" t="s">
        <v>30</v>
      </c>
      <c r="C10" s="80">
        <f t="shared" ref="C10:C14" si="1">29.6*$B$7</f>
        <v>651.2</v>
      </c>
      <c r="D10" s="97"/>
      <c r="E10" s="82"/>
      <c r="F10" s="48"/>
    </row>
    <row r="11">
      <c r="A11" s="83" t="s">
        <v>31</v>
      </c>
      <c r="B11" s="84" t="s">
        <v>32</v>
      </c>
      <c r="C11" s="80">
        <f t="shared" si="1"/>
        <v>651.2</v>
      </c>
      <c r="D11" s="111"/>
      <c r="E11" s="82"/>
      <c r="F11" s="48"/>
    </row>
    <row r="12">
      <c r="A12" s="78" t="s">
        <v>33</v>
      </c>
      <c r="B12" s="79" t="s">
        <v>34</v>
      </c>
      <c r="C12" s="80">
        <f t="shared" si="1"/>
        <v>651.2</v>
      </c>
      <c r="D12" s="111"/>
      <c r="E12" s="82"/>
      <c r="F12" s="48"/>
    </row>
    <row r="13">
      <c r="A13" s="83" t="s">
        <v>35</v>
      </c>
      <c r="B13" s="84" t="s">
        <v>36</v>
      </c>
      <c r="C13" s="80">
        <f t="shared" si="1"/>
        <v>651.2</v>
      </c>
      <c r="D13" s="97"/>
      <c r="E13" s="82"/>
      <c r="F13" s="48"/>
    </row>
    <row r="14">
      <c r="A14" s="78" t="s">
        <v>39</v>
      </c>
      <c r="B14" s="79" t="s">
        <v>40</v>
      </c>
      <c r="C14" s="80">
        <f t="shared" si="1"/>
        <v>651.2</v>
      </c>
      <c r="D14" s="111"/>
      <c r="E14" s="82"/>
      <c r="F14" s="48"/>
    </row>
    <row r="15">
      <c r="A15" s="78" t="s">
        <v>43</v>
      </c>
      <c r="B15" s="79" t="s">
        <v>44</v>
      </c>
      <c r="C15" s="80">
        <f t="shared" ref="C15:C33" si="2">28.2*$B$7</f>
        <v>620.4</v>
      </c>
      <c r="D15" s="111"/>
      <c r="E15" s="82"/>
      <c r="F15" s="48"/>
    </row>
    <row r="16">
      <c r="A16" s="83" t="s">
        <v>47</v>
      </c>
      <c r="B16" s="84" t="s">
        <v>48</v>
      </c>
      <c r="C16" s="80">
        <f t="shared" si="2"/>
        <v>620.4</v>
      </c>
      <c r="D16" s="111"/>
      <c r="E16" s="82"/>
      <c r="F16" s="48"/>
      <c r="I16" s="117">
        <f>C21-C27</f>
        <v>0</v>
      </c>
    </row>
    <row r="17">
      <c r="A17" s="85" t="s">
        <v>100</v>
      </c>
      <c r="B17" s="87" t="s">
        <v>101</v>
      </c>
      <c r="C17" s="80">
        <f t="shared" si="2"/>
        <v>620.4</v>
      </c>
      <c r="D17" s="97"/>
      <c r="E17" s="82"/>
      <c r="F17" s="48"/>
      <c r="H17" s="103" t="str">
        <f>H172</f>
        <v/>
      </c>
    </row>
    <row r="18">
      <c r="A18" s="78" t="s">
        <v>80</v>
      </c>
      <c r="B18" s="79" t="s">
        <v>81</v>
      </c>
      <c r="C18" s="80">
        <f t="shared" si="2"/>
        <v>620.4</v>
      </c>
      <c r="D18" s="97"/>
      <c r="E18" s="82"/>
      <c r="F18" s="48"/>
    </row>
    <row r="19">
      <c r="A19" s="100" t="s">
        <v>53</v>
      </c>
      <c r="B19" s="101" t="s">
        <v>54</v>
      </c>
      <c r="C19" s="80">
        <f t="shared" si="2"/>
        <v>620.4</v>
      </c>
      <c r="D19" s="97"/>
      <c r="E19" s="82"/>
      <c r="F19" s="48"/>
    </row>
    <row r="20">
      <c r="A20" s="78" t="s">
        <v>55</v>
      </c>
      <c r="B20" s="79" t="s">
        <v>56</v>
      </c>
      <c r="C20" s="80">
        <f t="shared" si="2"/>
        <v>620.4</v>
      </c>
      <c r="D20" s="97"/>
      <c r="E20" s="82"/>
      <c r="F20" s="48"/>
    </row>
    <row r="21">
      <c r="A21" s="100" t="s">
        <v>59</v>
      </c>
      <c r="B21" s="101" t="s">
        <v>60</v>
      </c>
      <c r="C21" s="80">
        <f t="shared" si="2"/>
        <v>620.4</v>
      </c>
      <c r="D21" s="97"/>
      <c r="E21" s="82"/>
      <c r="F21" s="48"/>
    </row>
    <row r="22">
      <c r="A22" s="78" t="s">
        <v>61</v>
      </c>
      <c r="B22" s="79" t="s">
        <v>62</v>
      </c>
      <c r="C22" s="80">
        <f t="shared" si="2"/>
        <v>620.4</v>
      </c>
      <c r="D22" s="111"/>
      <c r="E22" s="82"/>
      <c r="F22" s="48"/>
    </row>
    <row r="23">
      <c r="A23" s="100" t="s">
        <v>145</v>
      </c>
      <c r="B23" s="101" t="s">
        <v>146</v>
      </c>
      <c r="C23" s="80">
        <f t="shared" si="2"/>
        <v>620.4</v>
      </c>
      <c r="D23" s="97"/>
      <c r="E23" s="82"/>
      <c r="F23" s="48"/>
    </row>
    <row r="24">
      <c r="A24" s="112" t="s">
        <v>69</v>
      </c>
      <c r="B24" s="113" t="s">
        <v>70</v>
      </c>
      <c r="C24" s="80">
        <f t="shared" si="2"/>
        <v>620.4</v>
      </c>
      <c r="D24" s="111"/>
      <c r="E24" s="82"/>
      <c r="F24" s="48"/>
    </row>
    <row r="25">
      <c r="A25" s="100" t="s">
        <v>73</v>
      </c>
      <c r="B25" s="101" t="s">
        <v>74</v>
      </c>
      <c r="C25" s="80">
        <f t="shared" si="2"/>
        <v>620.4</v>
      </c>
      <c r="D25" s="111"/>
      <c r="E25" s="82"/>
      <c r="F25" s="48"/>
    </row>
    <row r="26">
      <c r="A26" s="78" t="s">
        <v>85</v>
      </c>
      <c r="B26" s="79" t="s">
        <v>86</v>
      </c>
      <c r="C26" s="80">
        <f t="shared" si="2"/>
        <v>620.4</v>
      </c>
      <c r="D26" s="97"/>
      <c r="E26" s="82"/>
      <c r="F26" s="48"/>
    </row>
    <row r="27">
      <c r="A27" s="100" t="s">
        <v>75</v>
      </c>
      <c r="B27" s="101" t="s">
        <v>76</v>
      </c>
      <c r="C27" s="80">
        <f t="shared" si="2"/>
        <v>620.4</v>
      </c>
      <c r="D27" s="97"/>
      <c r="E27" s="82"/>
      <c r="F27" s="48"/>
    </row>
    <row r="28">
      <c r="A28" s="78" t="s">
        <v>77</v>
      </c>
      <c r="B28" s="79" t="s">
        <v>78</v>
      </c>
      <c r="C28" s="80">
        <f t="shared" si="2"/>
        <v>620.4</v>
      </c>
      <c r="D28" s="97"/>
      <c r="E28" s="82"/>
      <c r="F28" s="48"/>
    </row>
    <row r="29">
      <c r="A29" s="107" t="s">
        <v>114</v>
      </c>
      <c r="B29" s="108" t="s">
        <v>115</v>
      </c>
      <c r="C29" s="80">
        <f t="shared" si="2"/>
        <v>620.4</v>
      </c>
      <c r="D29" s="5"/>
      <c r="E29" s="82"/>
      <c r="F29" s="48"/>
    </row>
    <row r="30">
      <c r="A30" s="114" t="s">
        <v>134</v>
      </c>
      <c r="B30" s="114" t="s">
        <v>135</v>
      </c>
      <c r="C30" s="80">
        <f t="shared" si="2"/>
        <v>620.4</v>
      </c>
      <c r="E30" s="82"/>
      <c r="F30" s="48"/>
    </row>
    <row r="31">
      <c r="A31" s="116" t="s">
        <v>147</v>
      </c>
      <c r="B31" s="116" t="s">
        <v>148</v>
      </c>
      <c r="C31" s="80">
        <f t="shared" si="2"/>
        <v>620.4</v>
      </c>
      <c r="E31" s="82"/>
      <c r="F31" s="48"/>
    </row>
    <row r="32">
      <c r="A32" s="114" t="s">
        <v>139</v>
      </c>
      <c r="B32" s="114" t="s">
        <v>140</v>
      </c>
      <c r="C32" s="80">
        <f t="shared" si="2"/>
        <v>620.4</v>
      </c>
      <c r="E32" s="82"/>
      <c r="F32" s="48"/>
    </row>
    <row r="33">
      <c r="A33" s="116" t="s">
        <v>149</v>
      </c>
      <c r="B33" s="116" t="s">
        <v>150</v>
      </c>
      <c r="C33" s="80">
        <f t="shared" si="2"/>
        <v>620.4</v>
      </c>
      <c r="E33" s="82"/>
      <c r="F33" s="48"/>
    </row>
  </sheetData>
  <mergeCells count="30">
    <mergeCell ref="A1:D6"/>
    <mergeCell ref="E1:F1"/>
    <mergeCell ref="A8:C8"/>
    <mergeCell ref="E8:F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33:F33"/>
    <mergeCell ref="E34:F34"/>
    <mergeCell ref="E26:F26"/>
    <mergeCell ref="E27:F27"/>
    <mergeCell ref="E28:F28"/>
    <mergeCell ref="E29:F29"/>
    <mergeCell ref="E30:F30"/>
    <mergeCell ref="E31:F31"/>
    <mergeCell ref="E32:F32"/>
  </mergeCells>
  <printOptions gridLines="1" horizontalCentered="1"/>
  <pageMargins bottom="0.75" footer="0.0" header="0.0" left="0.25" right="0.25" top="0.75"/>
  <pageSetup paperSize="9" cellComments="atEnd" orientation="portrait" pageOrder="overThenDown"/>
  <drawing r:id="rId2"/>
  <legacyDrawing r:id="rId3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63"/>
    <col customWidth="1" min="4" max="4" width="8.75"/>
    <col customWidth="1" min="5" max="5" width="51.25"/>
    <col customWidth="1" min="6" max="6" width="7.75"/>
  </cols>
  <sheetData>
    <row r="1">
      <c r="A1" s="13" t="s">
        <v>87</v>
      </c>
      <c r="E1" s="14" t="s">
        <v>3</v>
      </c>
      <c r="F1" s="15"/>
    </row>
    <row r="2">
      <c r="A2" s="19"/>
      <c r="E2" s="5"/>
      <c r="F2" s="10"/>
    </row>
    <row r="3">
      <c r="A3" s="19"/>
      <c r="E3" s="18"/>
      <c r="F3" s="26">
        <f>SUM(C10:C33)</f>
        <v>11787.6</v>
      </c>
    </row>
    <row r="4">
      <c r="A4" s="19"/>
      <c r="E4" s="31"/>
      <c r="F4" s="34"/>
    </row>
    <row r="5">
      <c r="A5" s="19"/>
      <c r="E5" s="36" t="s">
        <v>14</v>
      </c>
      <c r="F5" s="37">
        <f>F3</f>
        <v>11787.6</v>
      </c>
    </row>
    <row r="6">
      <c r="A6" s="19"/>
      <c r="E6" s="39"/>
      <c r="F6" s="10"/>
    </row>
    <row r="7">
      <c r="A7" s="40">
        <v>28.2</v>
      </c>
      <c r="B7" s="41">
        <v>19.0</v>
      </c>
      <c r="C7" s="43" t="s">
        <v>21</v>
      </c>
      <c r="D7" s="110" t="s">
        <v>117</v>
      </c>
      <c r="E7" s="5"/>
      <c r="F7" s="10"/>
    </row>
    <row r="8">
      <c r="A8" s="42" t="s">
        <v>151</v>
      </c>
      <c r="D8" s="45"/>
      <c r="E8" s="47" t="s">
        <v>24</v>
      </c>
      <c r="F8" s="48"/>
    </row>
    <row r="9">
      <c r="A9" s="49" t="s">
        <v>25</v>
      </c>
      <c r="B9" s="50" t="s">
        <v>26</v>
      </c>
      <c r="C9" s="50" t="s">
        <v>119</v>
      </c>
      <c r="D9" s="51"/>
      <c r="E9" s="54" t="s">
        <v>28</v>
      </c>
      <c r="F9" s="48"/>
    </row>
    <row r="10">
      <c r="A10" s="78" t="s">
        <v>29</v>
      </c>
      <c r="B10" s="79" t="s">
        <v>30</v>
      </c>
      <c r="C10" s="80">
        <f t="shared" ref="C10:C24" si="1">28.2*$B$7</f>
        <v>535.8</v>
      </c>
      <c r="D10" s="97"/>
      <c r="E10" s="82"/>
      <c r="F10" s="48"/>
    </row>
    <row r="11">
      <c r="A11" s="83" t="s">
        <v>31</v>
      </c>
      <c r="B11" s="84" t="s">
        <v>32</v>
      </c>
      <c r="C11" s="80">
        <f t="shared" si="1"/>
        <v>535.8</v>
      </c>
      <c r="D11" s="111"/>
      <c r="E11" s="82"/>
      <c r="F11" s="48"/>
    </row>
    <row r="12">
      <c r="A12" s="78" t="s">
        <v>33</v>
      </c>
      <c r="B12" s="79" t="s">
        <v>34</v>
      </c>
      <c r="C12" s="80">
        <f t="shared" si="1"/>
        <v>535.8</v>
      </c>
      <c r="D12" s="111"/>
      <c r="E12" s="82"/>
      <c r="F12" s="48"/>
    </row>
    <row r="13">
      <c r="A13" s="83" t="s">
        <v>35</v>
      </c>
      <c r="B13" s="84" t="s">
        <v>36</v>
      </c>
      <c r="C13" s="80">
        <f t="shared" si="1"/>
        <v>535.8</v>
      </c>
      <c r="D13" s="97"/>
      <c r="E13" s="82"/>
      <c r="F13" s="48"/>
    </row>
    <row r="14">
      <c r="A14" s="78" t="s">
        <v>39</v>
      </c>
      <c r="B14" s="79" t="s">
        <v>40</v>
      </c>
      <c r="C14" s="80">
        <f t="shared" si="1"/>
        <v>535.8</v>
      </c>
      <c r="D14" s="111"/>
      <c r="E14" s="82"/>
      <c r="F14" s="48"/>
    </row>
    <row r="15">
      <c r="A15" s="78" t="s">
        <v>43</v>
      </c>
      <c r="B15" s="79" t="s">
        <v>44</v>
      </c>
      <c r="C15" s="80">
        <f t="shared" si="1"/>
        <v>535.8</v>
      </c>
      <c r="D15" s="111"/>
      <c r="E15" s="82"/>
      <c r="F15" s="48"/>
    </row>
    <row r="16">
      <c r="A16" s="83" t="s">
        <v>47</v>
      </c>
      <c r="B16" s="84" t="s">
        <v>48</v>
      </c>
      <c r="C16" s="80">
        <f t="shared" si="1"/>
        <v>535.8</v>
      </c>
      <c r="D16" s="111"/>
      <c r="E16" s="82"/>
      <c r="F16" s="48"/>
    </row>
    <row r="17">
      <c r="A17" s="85" t="s">
        <v>100</v>
      </c>
      <c r="B17" s="87" t="s">
        <v>101</v>
      </c>
      <c r="C17" s="80">
        <f t="shared" si="1"/>
        <v>535.8</v>
      </c>
      <c r="D17" s="97"/>
      <c r="E17" s="82"/>
      <c r="F17" s="48"/>
      <c r="H17" s="103" t="str">
        <f>H172</f>
        <v/>
      </c>
    </row>
    <row r="18">
      <c r="A18" s="78" t="s">
        <v>80</v>
      </c>
      <c r="B18" s="79" t="s">
        <v>81</v>
      </c>
      <c r="C18" s="80">
        <f t="shared" si="1"/>
        <v>535.8</v>
      </c>
      <c r="D18" s="97"/>
      <c r="E18" s="82"/>
      <c r="F18" s="48"/>
    </row>
    <row r="19">
      <c r="A19" s="100" t="s">
        <v>53</v>
      </c>
      <c r="B19" s="101" t="s">
        <v>54</v>
      </c>
      <c r="C19" s="80">
        <f t="shared" si="1"/>
        <v>535.8</v>
      </c>
      <c r="D19" s="97"/>
      <c r="E19" s="82"/>
      <c r="F19" s="48"/>
    </row>
    <row r="20">
      <c r="A20" s="78" t="s">
        <v>55</v>
      </c>
      <c r="B20" s="79" t="s">
        <v>56</v>
      </c>
      <c r="C20" s="80">
        <f t="shared" si="1"/>
        <v>535.8</v>
      </c>
      <c r="D20" s="97"/>
      <c r="E20" s="82"/>
      <c r="F20" s="48"/>
    </row>
    <row r="21">
      <c r="A21" s="100" t="s">
        <v>59</v>
      </c>
      <c r="B21" s="101" t="s">
        <v>60</v>
      </c>
      <c r="C21" s="80">
        <f t="shared" si="1"/>
        <v>535.8</v>
      </c>
      <c r="D21" s="97"/>
      <c r="E21" s="82"/>
      <c r="F21" s="48"/>
    </row>
    <row r="22">
      <c r="A22" s="78" t="s">
        <v>61</v>
      </c>
      <c r="B22" s="79" t="s">
        <v>62</v>
      </c>
      <c r="C22" s="80">
        <f t="shared" si="1"/>
        <v>535.8</v>
      </c>
      <c r="D22" s="111"/>
      <c r="E22" s="82"/>
      <c r="F22" s="48"/>
    </row>
    <row r="23">
      <c r="A23" s="100" t="s">
        <v>145</v>
      </c>
      <c r="B23" s="101" t="s">
        <v>146</v>
      </c>
      <c r="C23" s="80">
        <f t="shared" si="1"/>
        <v>535.8</v>
      </c>
      <c r="D23" s="97"/>
      <c r="E23" s="82"/>
      <c r="F23" s="48"/>
    </row>
    <row r="24">
      <c r="A24" s="112" t="s">
        <v>69</v>
      </c>
      <c r="B24" s="113" t="s">
        <v>70</v>
      </c>
      <c r="C24" s="80">
        <f t="shared" si="1"/>
        <v>535.8</v>
      </c>
      <c r="D24" s="111"/>
      <c r="E24" s="82"/>
      <c r="F24" s="48"/>
    </row>
    <row r="25">
      <c r="A25" s="100"/>
      <c r="B25" s="101"/>
      <c r="C25" s="80"/>
      <c r="D25" s="111"/>
      <c r="E25" s="82"/>
      <c r="F25" s="48"/>
    </row>
    <row r="26">
      <c r="A26" s="78" t="s">
        <v>85</v>
      </c>
      <c r="B26" s="79" t="s">
        <v>86</v>
      </c>
      <c r="C26" s="80">
        <f t="shared" ref="C26:C32" si="2">28.2*$B$7</f>
        <v>535.8</v>
      </c>
      <c r="D26" s="97"/>
      <c r="E26" s="82"/>
      <c r="F26" s="48"/>
    </row>
    <row r="27">
      <c r="A27" s="100" t="s">
        <v>75</v>
      </c>
      <c r="B27" s="101" t="s">
        <v>76</v>
      </c>
      <c r="C27" s="80">
        <f t="shared" si="2"/>
        <v>535.8</v>
      </c>
      <c r="D27" s="97"/>
      <c r="E27" s="82"/>
      <c r="F27" s="48"/>
    </row>
    <row r="28">
      <c r="A28" s="78" t="s">
        <v>77</v>
      </c>
      <c r="B28" s="79" t="s">
        <v>78</v>
      </c>
      <c r="C28" s="80">
        <f t="shared" si="2"/>
        <v>535.8</v>
      </c>
      <c r="D28" s="97"/>
      <c r="E28" s="82"/>
      <c r="F28" s="48"/>
    </row>
    <row r="29">
      <c r="A29" s="107" t="s">
        <v>114</v>
      </c>
      <c r="B29" s="108" t="s">
        <v>115</v>
      </c>
      <c r="C29" s="80">
        <f t="shared" si="2"/>
        <v>535.8</v>
      </c>
      <c r="D29" s="5"/>
      <c r="E29" s="82"/>
      <c r="F29" s="48"/>
    </row>
    <row r="30">
      <c r="A30" s="114" t="s">
        <v>134</v>
      </c>
      <c r="B30" s="114" t="s">
        <v>135</v>
      </c>
      <c r="C30" s="80">
        <f t="shared" si="2"/>
        <v>535.8</v>
      </c>
      <c r="E30" s="82"/>
      <c r="F30" s="48"/>
    </row>
    <row r="31">
      <c r="A31" s="116" t="s">
        <v>152</v>
      </c>
      <c r="B31" s="116" t="s">
        <v>153</v>
      </c>
      <c r="C31" s="80">
        <f t="shared" si="2"/>
        <v>535.8</v>
      </c>
      <c r="E31" s="82"/>
      <c r="F31" s="48"/>
    </row>
    <row r="32">
      <c r="A32" s="114" t="s">
        <v>139</v>
      </c>
      <c r="B32" s="114" t="s">
        <v>140</v>
      </c>
      <c r="C32" s="80">
        <f t="shared" si="2"/>
        <v>535.8</v>
      </c>
      <c r="E32" s="82"/>
      <c r="F32" s="48"/>
    </row>
    <row r="33">
      <c r="A33" s="116"/>
      <c r="B33" s="116"/>
      <c r="C33" s="80"/>
      <c r="E33" s="82"/>
      <c r="F33" s="48"/>
    </row>
  </sheetData>
  <mergeCells count="30">
    <mergeCell ref="A1:D6"/>
    <mergeCell ref="E1:F1"/>
    <mergeCell ref="A8:C8"/>
    <mergeCell ref="E8:F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33:F33"/>
    <mergeCell ref="E34:F34"/>
    <mergeCell ref="E26:F26"/>
    <mergeCell ref="E27:F27"/>
    <mergeCell ref="E28:F28"/>
    <mergeCell ref="E29:F29"/>
    <mergeCell ref="E30:F30"/>
    <mergeCell ref="E31:F31"/>
    <mergeCell ref="E32:F32"/>
  </mergeCells>
  <printOptions gridLines="1" horizontalCentered="1"/>
  <pageMargins bottom="0.75" footer="0.0" header="0.0" left="0.25" right="0.25" top="0.75"/>
  <pageSetup paperSize="9" cellComments="atEnd" orientation="portrait" pageOrder="overThenDown"/>
  <drawing r:id="rId2"/>
  <legacyDrawing r:id="rId3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63"/>
    <col customWidth="1" min="4" max="4" width="8.75"/>
    <col customWidth="1" min="5" max="5" width="51.25"/>
    <col customWidth="1" min="6" max="6" width="7.75"/>
  </cols>
  <sheetData>
    <row r="1">
      <c r="A1" s="13" t="s">
        <v>87</v>
      </c>
      <c r="E1" s="14" t="s">
        <v>3</v>
      </c>
      <c r="F1" s="15"/>
    </row>
    <row r="2">
      <c r="A2" s="19"/>
      <c r="E2" s="5"/>
      <c r="F2" s="10"/>
    </row>
    <row r="3">
      <c r="A3" s="19"/>
      <c r="E3" s="18"/>
      <c r="F3" s="26">
        <f>SUM(C10:C33)</f>
        <v>12154.2</v>
      </c>
    </row>
    <row r="4">
      <c r="A4" s="19"/>
      <c r="E4" s="31"/>
      <c r="F4" s="34"/>
    </row>
    <row r="5">
      <c r="A5" s="19"/>
      <c r="E5" s="36" t="s">
        <v>14</v>
      </c>
      <c r="F5" s="37">
        <f>F3</f>
        <v>12154.2</v>
      </c>
    </row>
    <row r="6">
      <c r="A6" s="19"/>
      <c r="E6" s="39"/>
      <c r="F6" s="10"/>
    </row>
    <row r="7">
      <c r="A7" s="40">
        <v>28.2</v>
      </c>
      <c r="B7" s="41">
        <v>20.0</v>
      </c>
      <c r="C7" s="43" t="s">
        <v>21</v>
      </c>
      <c r="D7" s="110" t="s">
        <v>117</v>
      </c>
      <c r="E7" s="5"/>
      <c r="F7" s="10"/>
    </row>
    <row r="8">
      <c r="A8" s="42" t="s">
        <v>154</v>
      </c>
      <c r="D8" s="45"/>
      <c r="E8" s="47" t="s">
        <v>24</v>
      </c>
      <c r="F8" s="48"/>
    </row>
    <row r="9">
      <c r="A9" s="49" t="s">
        <v>25</v>
      </c>
      <c r="B9" s="50" t="s">
        <v>26</v>
      </c>
      <c r="C9" s="50" t="s">
        <v>119</v>
      </c>
      <c r="D9" s="51"/>
      <c r="E9" s="54" t="s">
        <v>28</v>
      </c>
      <c r="F9" s="48"/>
    </row>
    <row r="10">
      <c r="A10" s="78" t="s">
        <v>29</v>
      </c>
      <c r="B10" s="79" t="s">
        <v>30</v>
      </c>
      <c r="C10" s="80">
        <f t="shared" ref="C10:C11" si="1">28.2*$B$7</f>
        <v>564</v>
      </c>
      <c r="D10" s="97"/>
      <c r="E10" s="82"/>
      <c r="F10" s="48"/>
    </row>
    <row r="11">
      <c r="A11" s="83" t="s">
        <v>31</v>
      </c>
      <c r="B11" s="84" t="s">
        <v>32</v>
      </c>
      <c r="C11" s="80">
        <f t="shared" si="1"/>
        <v>564</v>
      </c>
      <c r="D11" s="111"/>
      <c r="E11" s="82"/>
      <c r="F11" s="48"/>
    </row>
    <row r="12">
      <c r="A12" s="78" t="s">
        <v>33</v>
      </c>
      <c r="B12" s="79" t="s">
        <v>34</v>
      </c>
      <c r="C12" s="80">
        <f>28.2*16</f>
        <v>451.2</v>
      </c>
      <c r="D12" s="111"/>
      <c r="E12" s="82" t="s">
        <v>155</v>
      </c>
      <c r="F12" s="48"/>
    </row>
    <row r="13">
      <c r="A13" s="83" t="s">
        <v>35</v>
      </c>
      <c r="B13" s="84" t="s">
        <v>36</v>
      </c>
      <c r="C13" s="80">
        <f>28.2*$B$7</f>
        <v>564</v>
      </c>
      <c r="D13" s="97"/>
      <c r="E13" s="82"/>
      <c r="F13" s="48"/>
    </row>
    <row r="14">
      <c r="A14" s="78" t="s">
        <v>39</v>
      </c>
      <c r="B14" s="79" t="s">
        <v>40</v>
      </c>
      <c r="C14" s="80">
        <f>28.2*16</f>
        <v>451.2</v>
      </c>
      <c r="D14" s="111"/>
      <c r="E14" s="82" t="s">
        <v>155</v>
      </c>
      <c r="F14" s="48"/>
    </row>
    <row r="15">
      <c r="A15" s="78" t="s">
        <v>43</v>
      </c>
      <c r="B15" s="79" t="s">
        <v>44</v>
      </c>
      <c r="C15" s="80">
        <f>28.2*$B$7</f>
        <v>564</v>
      </c>
      <c r="D15" s="111"/>
      <c r="E15" s="82"/>
      <c r="F15" s="48"/>
    </row>
    <row r="16">
      <c r="A16" s="83" t="s">
        <v>47</v>
      </c>
      <c r="B16" s="84" t="s">
        <v>48</v>
      </c>
      <c r="C16" s="80">
        <f>28.2*16</f>
        <v>451.2</v>
      </c>
      <c r="D16" s="111"/>
      <c r="E16" s="82" t="s">
        <v>155</v>
      </c>
      <c r="F16" s="48"/>
    </row>
    <row r="17">
      <c r="A17" s="85" t="s">
        <v>100</v>
      </c>
      <c r="B17" s="87" t="s">
        <v>101</v>
      </c>
      <c r="C17" s="80">
        <f t="shared" ref="C17:C18" si="2">28.2*$B$7</f>
        <v>564</v>
      </c>
      <c r="D17" s="97"/>
      <c r="E17" s="82"/>
      <c r="F17" s="48"/>
      <c r="H17" s="103" t="str">
        <f>H172</f>
        <v/>
      </c>
    </row>
    <row r="18">
      <c r="A18" s="78" t="s">
        <v>80</v>
      </c>
      <c r="B18" s="79" t="s">
        <v>81</v>
      </c>
      <c r="C18" s="80">
        <f t="shared" si="2"/>
        <v>564</v>
      </c>
      <c r="D18" s="97"/>
      <c r="E18" s="82"/>
      <c r="F18" s="48"/>
    </row>
    <row r="19">
      <c r="A19" s="100" t="s">
        <v>53</v>
      </c>
      <c r="B19" s="101" t="s">
        <v>54</v>
      </c>
      <c r="C19" s="80">
        <f>28.2*11</f>
        <v>310.2</v>
      </c>
      <c r="D19" s="97"/>
      <c r="E19" s="82" t="s">
        <v>158</v>
      </c>
      <c r="F19" s="48"/>
    </row>
    <row r="20">
      <c r="A20" s="78" t="s">
        <v>55</v>
      </c>
      <c r="B20" s="79" t="s">
        <v>56</v>
      </c>
      <c r="C20" s="80">
        <f t="shared" ref="C20:C26" si="3">28.2*$B$7</f>
        <v>564</v>
      </c>
      <c r="D20" s="97"/>
      <c r="E20" s="82"/>
      <c r="F20" s="48"/>
    </row>
    <row r="21">
      <c r="A21" s="100" t="s">
        <v>59</v>
      </c>
      <c r="B21" s="101" t="s">
        <v>60</v>
      </c>
      <c r="C21" s="80">
        <f t="shared" si="3"/>
        <v>564</v>
      </c>
      <c r="D21" s="97"/>
      <c r="E21" s="82"/>
      <c r="F21" s="48"/>
    </row>
    <row r="22">
      <c r="A22" s="78" t="s">
        <v>61</v>
      </c>
      <c r="B22" s="79" t="s">
        <v>62</v>
      </c>
      <c r="C22" s="80">
        <f t="shared" si="3"/>
        <v>564</v>
      </c>
      <c r="D22" s="111"/>
      <c r="E22" s="82"/>
      <c r="F22" s="48"/>
    </row>
    <row r="23">
      <c r="A23" s="100" t="s">
        <v>160</v>
      </c>
      <c r="B23" s="101">
        <v>3.8332674883E10</v>
      </c>
      <c r="C23" s="80">
        <f t="shared" si="3"/>
        <v>564</v>
      </c>
      <c r="D23" s="97"/>
      <c r="E23" s="82"/>
      <c r="F23" s="48"/>
    </row>
    <row r="24">
      <c r="A24" s="112" t="s">
        <v>69</v>
      </c>
      <c r="B24" s="113" t="s">
        <v>70</v>
      </c>
      <c r="C24" s="80">
        <f t="shared" si="3"/>
        <v>564</v>
      </c>
      <c r="D24" s="111"/>
      <c r="E24" s="82"/>
      <c r="F24" s="48"/>
    </row>
    <row r="25">
      <c r="A25" s="100" t="s">
        <v>164</v>
      </c>
      <c r="B25" s="101" t="s">
        <v>165</v>
      </c>
      <c r="C25" s="80">
        <f t="shared" si="3"/>
        <v>564</v>
      </c>
      <c r="D25" s="111"/>
      <c r="E25" s="82"/>
      <c r="F25" s="48"/>
      <c r="G25" s="117">
        <f>C22-C27</f>
        <v>112.8</v>
      </c>
    </row>
    <row r="26">
      <c r="A26" s="78" t="s">
        <v>85</v>
      </c>
      <c r="B26" s="79" t="s">
        <v>86</v>
      </c>
      <c r="C26" s="80">
        <f t="shared" si="3"/>
        <v>564</v>
      </c>
      <c r="D26" s="97"/>
      <c r="E26" s="82"/>
      <c r="F26" s="48"/>
    </row>
    <row r="27">
      <c r="A27" s="100" t="s">
        <v>75</v>
      </c>
      <c r="B27" s="101" t="s">
        <v>76</v>
      </c>
      <c r="C27" s="80">
        <f t="shared" ref="C27:C28" si="4">28.2*16</f>
        <v>451.2</v>
      </c>
      <c r="D27" s="97"/>
      <c r="E27" s="82" t="s">
        <v>155</v>
      </c>
      <c r="F27" s="48"/>
    </row>
    <row r="28">
      <c r="A28" s="78" t="s">
        <v>77</v>
      </c>
      <c r="B28" s="79" t="s">
        <v>78</v>
      </c>
      <c r="C28" s="80">
        <f t="shared" si="4"/>
        <v>451.2</v>
      </c>
      <c r="D28" s="97"/>
      <c r="E28" s="82" t="s">
        <v>155</v>
      </c>
      <c r="F28" s="48"/>
    </row>
    <row r="29">
      <c r="A29" s="107" t="s">
        <v>114</v>
      </c>
      <c r="B29" s="108" t="s">
        <v>115</v>
      </c>
      <c r="C29" s="80">
        <f t="shared" ref="C29:C32" si="5">28.2*$B$7</f>
        <v>564</v>
      </c>
      <c r="D29" s="5"/>
      <c r="E29" s="82"/>
      <c r="F29" s="48"/>
    </row>
    <row r="30">
      <c r="A30" s="114" t="s">
        <v>134</v>
      </c>
      <c r="B30" s="114" t="s">
        <v>135</v>
      </c>
      <c r="C30" s="80">
        <f t="shared" si="5"/>
        <v>564</v>
      </c>
      <c r="E30" s="82"/>
      <c r="F30" s="48"/>
    </row>
    <row r="31">
      <c r="A31" s="116" t="s">
        <v>152</v>
      </c>
      <c r="B31" s="116" t="s">
        <v>153</v>
      </c>
      <c r="C31" s="80">
        <f t="shared" si="5"/>
        <v>564</v>
      </c>
      <c r="E31" s="82"/>
      <c r="F31" s="48"/>
    </row>
    <row r="32">
      <c r="A32" s="114" t="s">
        <v>139</v>
      </c>
      <c r="B32" s="114" t="s">
        <v>140</v>
      </c>
      <c r="C32" s="80">
        <f t="shared" si="5"/>
        <v>564</v>
      </c>
      <c r="E32" s="82"/>
      <c r="F32" s="48"/>
    </row>
    <row r="33">
      <c r="A33" s="116"/>
      <c r="B33" s="116"/>
      <c r="C33" s="80"/>
      <c r="E33" s="82"/>
      <c r="F33" s="48"/>
    </row>
  </sheetData>
  <mergeCells count="30">
    <mergeCell ref="A1:D6"/>
    <mergeCell ref="E1:F1"/>
    <mergeCell ref="A8:C8"/>
    <mergeCell ref="E8:F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33:F33"/>
    <mergeCell ref="E34:F34"/>
    <mergeCell ref="E26:F26"/>
    <mergeCell ref="E27:F27"/>
    <mergeCell ref="E28:F28"/>
    <mergeCell ref="E29:F29"/>
    <mergeCell ref="E30:F30"/>
    <mergeCell ref="E31:F31"/>
    <mergeCell ref="E32:F32"/>
  </mergeCells>
  <printOptions gridLines="1" horizontalCentered="1"/>
  <pageMargins bottom="0.75" footer="0.0" header="0.0" left="0.25" right="0.25" top="0.75"/>
  <pageSetup paperSize="9" cellComments="atEnd" orientation="portrait" pageOrder="overThenDown"/>
  <drawing r:id="rId2"/>
  <legacyDrawing r:id="rId3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63"/>
    <col customWidth="1" min="4" max="4" width="8.75"/>
    <col customWidth="1" min="5" max="5" width="51.25"/>
    <col customWidth="1" min="6" max="6" width="7.75"/>
  </cols>
  <sheetData>
    <row r="1">
      <c r="A1" s="13" t="s">
        <v>87</v>
      </c>
      <c r="E1" s="14" t="s">
        <v>3</v>
      </c>
      <c r="F1" s="15"/>
    </row>
    <row r="2">
      <c r="A2" s="19"/>
      <c r="E2" s="5"/>
      <c r="F2" s="10"/>
    </row>
    <row r="3">
      <c r="A3" s="19"/>
      <c r="E3" s="18"/>
      <c r="F3" s="26">
        <f>SUM(C10:C34)</f>
        <v>12210.6</v>
      </c>
    </row>
    <row r="4">
      <c r="A4" s="19"/>
      <c r="E4" s="31"/>
      <c r="F4" s="34"/>
    </row>
    <row r="5">
      <c r="A5" s="19"/>
      <c r="E5" s="36" t="s">
        <v>14</v>
      </c>
      <c r="F5" s="37">
        <f>F3</f>
        <v>12210.6</v>
      </c>
    </row>
    <row r="6">
      <c r="A6" s="19"/>
      <c r="E6" s="39"/>
      <c r="F6" s="10"/>
    </row>
    <row r="7">
      <c r="A7" s="40">
        <v>28.2</v>
      </c>
      <c r="B7" s="41">
        <v>22.0</v>
      </c>
      <c r="C7" s="43" t="s">
        <v>21</v>
      </c>
      <c r="D7" s="110" t="s">
        <v>117</v>
      </c>
      <c r="E7" s="5"/>
      <c r="F7" s="10"/>
    </row>
    <row r="8">
      <c r="A8" s="42" t="s">
        <v>156</v>
      </c>
      <c r="D8" s="45"/>
      <c r="E8" s="47" t="s">
        <v>24</v>
      </c>
      <c r="F8" s="48"/>
    </row>
    <row r="9">
      <c r="A9" s="49" t="s">
        <v>25</v>
      </c>
      <c r="B9" s="50" t="s">
        <v>26</v>
      </c>
      <c r="C9" s="50" t="s">
        <v>119</v>
      </c>
      <c r="D9" s="51"/>
      <c r="E9" s="54" t="s">
        <v>28</v>
      </c>
      <c r="F9" s="48"/>
    </row>
    <row r="10">
      <c r="A10" s="78" t="s">
        <v>29</v>
      </c>
      <c r="B10" s="79" t="s">
        <v>30</v>
      </c>
      <c r="C10" s="80">
        <v>0.0</v>
      </c>
      <c r="D10" s="97"/>
      <c r="E10" s="82" t="s">
        <v>157</v>
      </c>
      <c r="F10" s="48"/>
    </row>
    <row r="11">
      <c r="A11" s="83" t="s">
        <v>31</v>
      </c>
      <c r="B11" s="84" t="s">
        <v>32</v>
      </c>
      <c r="C11" s="80">
        <v>0.0</v>
      </c>
      <c r="D11" s="111"/>
      <c r="E11" s="82" t="s">
        <v>157</v>
      </c>
      <c r="F11" s="48"/>
    </row>
    <row r="12">
      <c r="A12" s="78" t="s">
        <v>33</v>
      </c>
      <c r="B12" s="79" t="s">
        <v>34</v>
      </c>
      <c r="C12" s="80">
        <v>620.4</v>
      </c>
      <c r="D12" s="111"/>
      <c r="E12" s="82"/>
      <c r="F12" s="48"/>
    </row>
    <row r="13">
      <c r="A13" s="83" t="s">
        <v>35</v>
      </c>
      <c r="B13" s="84" t="s">
        <v>36</v>
      </c>
      <c r="C13" s="80">
        <f>28.2*$B$7</f>
        <v>620.4</v>
      </c>
      <c r="D13" s="97"/>
      <c r="E13" s="82"/>
      <c r="F13" s="48"/>
    </row>
    <row r="14">
      <c r="A14" s="78" t="s">
        <v>39</v>
      </c>
      <c r="B14" s="79" t="s">
        <v>40</v>
      </c>
      <c r="C14" s="80">
        <v>479.4</v>
      </c>
      <c r="D14" s="111"/>
      <c r="E14" s="82" t="s">
        <v>159</v>
      </c>
      <c r="F14" s="48"/>
    </row>
    <row r="15">
      <c r="A15" s="78" t="s">
        <v>43</v>
      </c>
      <c r="B15" s="79" t="s">
        <v>44</v>
      </c>
      <c r="C15" s="80">
        <f>28.2*$B$7</f>
        <v>620.4</v>
      </c>
      <c r="D15" s="111"/>
      <c r="E15" s="82"/>
      <c r="F15" s="48"/>
    </row>
    <row r="16">
      <c r="A16" s="78" t="s">
        <v>161</v>
      </c>
      <c r="B16" s="79" t="s">
        <v>162</v>
      </c>
      <c r="C16" s="80">
        <v>620.4</v>
      </c>
      <c r="D16" s="111"/>
      <c r="E16" s="99"/>
      <c r="F16" s="99"/>
    </row>
    <row r="17">
      <c r="A17" s="83" t="s">
        <v>47</v>
      </c>
      <c r="B17" s="84" t="s">
        <v>48</v>
      </c>
      <c r="C17" s="80">
        <v>451.2</v>
      </c>
      <c r="D17" s="111"/>
      <c r="E17" s="82" t="s">
        <v>163</v>
      </c>
      <c r="F17" s="48"/>
    </row>
    <row r="18">
      <c r="A18" s="85" t="s">
        <v>100</v>
      </c>
      <c r="B18" s="87" t="s">
        <v>101</v>
      </c>
      <c r="C18" s="80">
        <f>28.2*$B$7</f>
        <v>620.4</v>
      </c>
      <c r="D18" s="97"/>
      <c r="E18" s="82"/>
      <c r="F18" s="48"/>
      <c r="H18" s="103" t="str">
        <f>H173</f>
        <v/>
      </c>
    </row>
    <row r="19">
      <c r="A19" s="78" t="s">
        <v>80</v>
      </c>
      <c r="B19" s="79" t="s">
        <v>81</v>
      </c>
      <c r="C19" s="80">
        <v>0.0</v>
      </c>
      <c r="D19" s="97"/>
      <c r="E19" s="82" t="s">
        <v>166</v>
      </c>
      <c r="F19" s="48"/>
    </row>
    <row r="20">
      <c r="A20" s="100" t="s">
        <v>53</v>
      </c>
      <c r="B20" s="101" t="s">
        <v>54</v>
      </c>
      <c r="C20" s="80">
        <v>0.0</v>
      </c>
      <c r="D20" s="97"/>
      <c r="E20" s="82" t="s">
        <v>166</v>
      </c>
      <c r="F20" s="48"/>
    </row>
    <row r="21">
      <c r="A21" s="78" t="s">
        <v>55</v>
      </c>
      <c r="B21" s="79" t="s">
        <v>56</v>
      </c>
      <c r="C21" s="80">
        <f t="shared" ref="C21:C27" si="1">28.2*$B$7</f>
        <v>620.4</v>
      </c>
      <c r="D21" s="97"/>
      <c r="E21" s="82"/>
      <c r="F21" s="48"/>
    </row>
    <row r="22">
      <c r="A22" s="100" t="s">
        <v>59</v>
      </c>
      <c r="B22" s="101" t="s">
        <v>60</v>
      </c>
      <c r="C22" s="80">
        <f t="shared" si="1"/>
        <v>620.4</v>
      </c>
      <c r="D22" s="97"/>
      <c r="E22" s="82"/>
      <c r="F22" s="48"/>
    </row>
    <row r="23">
      <c r="A23" s="78" t="s">
        <v>61</v>
      </c>
      <c r="B23" s="79" t="s">
        <v>62</v>
      </c>
      <c r="C23" s="80">
        <f t="shared" si="1"/>
        <v>620.4</v>
      </c>
      <c r="D23" s="111"/>
      <c r="E23" s="82"/>
      <c r="F23" s="48"/>
    </row>
    <row r="24">
      <c r="A24" s="100" t="s">
        <v>167</v>
      </c>
      <c r="B24" s="101">
        <v>3.8332674883E10</v>
      </c>
      <c r="C24" s="80">
        <f t="shared" si="1"/>
        <v>620.4</v>
      </c>
      <c r="D24" s="97"/>
      <c r="E24" s="82"/>
      <c r="F24" s="48"/>
    </row>
    <row r="25">
      <c r="A25" s="112" t="s">
        <v>69</v>
      </c>
      <c r="B25" s="113" t="s">
        <v>70</v>
      </c>
      <c r="C25" s="80">
        <f t="shared" si="1"/>
        <v>620.4</v>
      </c>
      <c r="D25" s="111"/>
      <c r="E25" s="82"/>
      <c r="F25" s="48"/>
    </row>
    <row r="26">
      <c r="A26" s="100" t="s">
        <v>164</v>
      </c>
      <c r="B26" s="101" t="s">
        <v>165</v>
      </c>
      <c r="C26" s="80">
        <f t="shared" si="1"/>
        <v>620.4</v>
      </c>
      <c r="D26" s="111"/>
      <c r="E26" s="82"/>
      <c r="F26" s="48"/>
    </row>
    <row r="27">
      <c r="A27" s="78" t="s">
        <v>85</v>
      </c>
      <c r="B27" s="79" t="s">
        <v>86</v>
      </c>
      <c r="C27" s="80">
        <f t="shared" si="1"/>
        <v>620.4</v>
      </c>
      <c r="D27" s="97"/>
      <c r="E27" s="82"/>
      <c r="F27" s="48"/>
    </row>
    <row r="28">
      <c r="A28" s="100" t="s">
        <v>75</v>
      </c>
      <c r="B28" s="101" t="s">
        <v>76</v>
      </c>
      <c r="C28" s="80">
        <v>733.2</v>
      </c>
      <c r="D28" s="97"/>
      <c r="E28" s="82" t="s">
        <v>170</v>
      </c>
      <c r="F28" s="48"/>
    </row>
    <row r="29">
      <c r="A29" s="78" t="s">
        <v>77</v>
      </c>
      <c r="B29" s="79" t="s">
        <v>78</v>
      </c>
      <c r="C29" s="80">
        <v>620.4</v>
      </c>
      <c r="D29" s="97"/>
      <c r="E29" s="82"/>
      <c r="F29" s="48"/>
    </row>
    <row r="30">
      <c r="A30" s="107" t="s">
        <v>114</v>
      </c>
      <c r="B30" s="108" t="s">
        <v>115</v>
      </c>
      <c r="C30" s="80">
        <f t="shared" ref="C30:C33" si="2">28.2*$B$7</f>
        <v>620.4</v>
      </c>
      <c r="D30" s="5"/>
      <c r="E30" s="82"/>
      <c r="F30" s="48"/>
    </row>
    <row r="31">
      <c r="A31" s="118" t="s">
        <v>134</v>
      </c>
      <c r="B31" s="114" t="s">
        <v>135</v>
      </c>
      <c r="C31" s="80">
        <f t="shared" si="2"/>
        <v>620.4</v>
      </c>
      <c r="E31" s="82"/>
      <c r="F31" s="48"/>
    </row>
    <row r="32">
      <c r="A32" s="119" t="s">
        <v>152</v>
      </c>
      <c r="B32" s="116" t="s">
        <v>153</v>
      </c>
      <c r="C32" s="80">
        <f t="shared" si="2"/>
        <v>620.4</v>
      </c>
      <c r="E32" s="82"/>
      <c r="F32" s="48"/>
    </row>
    <row r="33">
      <c r="A33" s="118" t="s">
        <v>139</v>
      </c>
      <c r="B33" s="114" t="s">
        <v>140</v>
      </c>
      <c r="C33" s="80">
        <f t="shared" si="2"/>
        <v>620.4</v>
      </c>
      <c r="E33" s="82"/>
      <c r="F33" s="48"/>
    </row>
    <row r="34">
      <c r="A34" s="116"/>
      <c r="B34" s="116"/>
      <c r="C34" s="80"/>
      <c r="E34" s="82"/>
      <c r="F34" s="48"/>
    </row>
  </sheetData>
  <mergeCells count="30">
    <mergeCell ref="A1:D6"/>
    <mergeCell ref="E1:F1"/>
    <mergeCell ref="A8:C8"/>
    <mergeCell ref="E8:F8"/>
    <mergeCell ref="E9:F9"/>
    <mergeCell ref="E10:F10"/>
    <mergeCell ref="E11:F11"/>
    <mergeCell ref="E12:F12"/>
    <mergeCell ref="E13:F13"/>
    <mergeCell ref="E14:F14"/>
    <mergeCell ref="E15:F15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34:F34"/>
    <mergeCell ref="E35:F35"/>
    <mergeCell ref="E27:F27"/>
    <mergeCell ref="E28:F28"/>
    <mergeCell ref="E29:F29"/>
    <mergeCell ref="E30:F30"/>
    <mergeCell ref="E31:F31"/>
    <mergeCell ref="E32:F32"/>
    <mergeCell ref="E33:F33"/>
  </mergeCells>
  <printOptions gridLines="1" horizontalCentered="1"/>
  <pageMargins bottom="0.75" footer="0.0" header="0.0" left="0.25" right="0.25" top="0.75"/>
  <pageSetup paperSize="9" cellComments="atEnd" orientation="portrait" pageOrder="overThenDown"/>
  <drawing r:id="rId2"/>
  <legacyDrawing r:id="rId3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63"/>
    <col customWidth="1" min="4" max="4" width="8.75"/>
    <col customWidth="1" min="5" max="5" width="51.25"/>
    <col customWidth="1" min="6" max="6" width="7.75"/>
  </cols>
  <sheetData>
    <row r="1">
      <c r="A1" s="13" t="s">
        <v>87</v>
      </c>
      <c r="E1" s="14" t="s">
        <v>3</v>
      </c>
      <c r="F1" s="15"/>
    </row>
    <row r="2">
      <c r="A2" s="19"/>
      <c r="E2" s="5"/>
      <c r="F2" s="10"/>
    </row>
    <row r="3">
      <c r="A3" s="19"/>
      <c r="E3" s="18"/>
      <c r="F3" s="26">
        <f>SUM(C10:C34)</f>
        <v>12323.4</v>
      </c>
    </row>
    <row r="4">
      <c r="A4" s="19"/>
      <c r="E4" s="31"/>
      <c r="F4" s="34"/>
    </row>
    <row r="5">
      <c r="A5" s="19"/>
      <c r="E5" s="36" t="s">
        <v>14</v>
      </c>
      <c r="F5" s="37">
        <f>F3</f>
        <v>12323.4</v>
      </c>
    </row>
    <row r="6">
      <c r="A6" s="19"/>
      <c r="E6" s="39"/>
      <c r="F6" s="10"/>
    </row>
    <row r="7">
      <c r="A7" s="40">
        <v>28.2</v>
      </c>
      <c r="B7" s="41">
        <v>19.0</v>
      </c>
      <c r="C7" s="43" t="s">
        <v>21</v>
      </c>
      <c r="D7" s="110" t="s">
        <v>117</v>
      </c>
      <c r="E7" s="5"/>
      <c r="F7" s="10"/>
    </row>
    <row r="8">
      <c r="A8" s="42" t="s">
        <v>156</v>
      </c>
      <c r="D8" s="45"/>
      <c r="E8" s="47" t="s">
        <v>24</v>
      </c>
      <c r="F8" s="48"/>
    </row>
    <row r="9">
      <c r="A9" s="49" t="s">
        <v>25</v>
      </c>
      <c r="B9" s="50" t="s">
        <v>26</v>
      </c>
      <c r="C9" s="50" t="s">
        <v>119</v>
      </c>
      <c r="D9" s="51"/>
      <c r="E9" s="54" t="s">
        <v>28</v>
      </c>
      <c r="F9" s="48"/>
    </row>
    <row r="10">
      <c r="A10" s="78" t="s">
        <v>29</v>
      </c>
      <c r="B10" s="79" t="s">
        <v>30</v>
      </c>
      <c r="C10" s="80">
        <v>0.0</v>
      </c>
      <c r="D10" s="97"/>
      <c r="E10" s="82" t="s">
        <v>157</v>
      </c>
      <c r="F10" s="48"/>
    </row>
    <row r="11">
      <c r="A11" s="83" t="s">
        <v>31</v>
      </c>
      <c r="B11" s="84" t="s">
        <v>32</v>
      </c>
      <c r="C11" s="80">
        <v>0.0</v>
      </c>
      <c r="D11" s="111"/>
      <c r="E11" s="82" t="s">
        <v>157</v>
      </c>
      <c r="F11" s="48"/>
    </row>
    <row r="12">
      <c r="A12" s="78" t="s">
        <v>33</v>
      </c>
      <c r="B12" s="79" t="s">
        <v>34</v>
      </c>
      <c r="C12" s="80">
        <f t="shared" ref="C12:C35" si="1">28.2*$B$7</f>
        <v>535.8</v>
      </c>
      <c r="D12" s="111"/>
      <c r="E12" s="82"/>
      <c r="F12" s="48"/>
    </row>
    <row r="13">
      <c r="A13" s="83" t="s">
        <v>35</v>
      </c>
      <c r="B13" s="84" t="s">
        <v>36</v>
      </c>
      <c r="C13" s="80">
        <f t="shared" si="1"/>
        <v>535.8</v>
      </c>
      <c r="D13" s="97"/>
      <c r="E13" s="82"/>
      <c r="F13" s="48"/>
    </row>
    <row r="14">
      <c r="A14" s="78" t="s">
        <v>39</v>
      </c>
      <c r="B14" s="79" t="s">
        <v>40</v>
      </c>
      <c r="C14" s="80">
        <f t="shared" si="1"/>
        <v>535.8</v>
      </c>
      <c r="D14" s="111"/>
      <c r="E14" s="82"/>
      <c r="F14" s="48"/>
    </row>
    <row r="15">
      <c r="A15" s="78" t="s">
        <v>43</v>
      </c>
      <c r="B15" s="79" t="s">
        <v>44</v>
      </c>
      <c r="C15" s="80">
        <f t="shared" si="1"/>
        <v>535.8</v>
      </c>
      <c r="D15" s="111"/>
      <c r="E15" s="82"/>
      <c r="F15" s="48"/>
    </row>
    <row r="16">
      <c r="A16" s="78" t="s">
        <v>161</v>
      </c>
      <c r="B16" s="79" t="s">
        <v>162</v>
      </c>
      <c r="C16" s="80">
        <f t="shared" si="1"/>
        <v>535.8</v>
      </c>
      <c r="D16" s="111"/>
      <c r="E16" s="99"/>
      <c r="F16" s="99"/>
    </row>
    <row r="17">
      <c r="A17" s="83" t="s">
        <v>47</v>
      </c>
      <c r="B17" s="84" t="s">
        <v>48</v>
      </c>
      <c r="C17" s="80">
        <f t="shared" si="1"/>
        <v>535.8</v>
      </c>
      <c r="D17" s="111"/>
      <c r="E17" s="82"/>
      <c r="F17" s="48"/>
    </row>
    <row r="18">
      <c r="A18" s="85" t="s">
        <v>100</v>
      </c>
      <c r="B18" s="87" t="s">
        <v>101</v>
      </c>
      <c r="C18" s="80">
        <f t="shared" si="1"/>
        <v>535.8</v>
      </c>
      <c r="D18" s="97"/>
      <c r="E18" s="82"/>
      <c r="F18" s="48"/>
      <c r="H18" s="103" t="str">
        <f>H173</f>
        <v/>
      </c>
    </row>
    <row r="19">
      <c r="A19" s="78" t="s">
        <v>80</v>
      </c>
      <c r="B19" s="79" t="s">
        <v>81</v>
      </c>
      <c r="C19" s="80">
        <f t="shared" si="1"/>
        <v>535.8</v>
      </c>
      <c r="D19" s="97"/>
      <c r="E19" s="82"/>
      <c r="F19" s="48"/>
    </row>
    <row r="20">
      <c r="A20" s="100" t="s">
        <v>168</v>
      </c>
      <c r="B20" s="101" t="s">
        <v>169</v>
      </c>
      <c r="C20" s="80">
        <f t="shared" si="1"/>
        <v>535.8</v>
      </c>
      <c r="D20" s="97"/>
      <c r="E20" s="82"/>
      <c r="F20" s="48"/>
    </row>
    <row r="21">
      <c r="A21" s="78" t="s">
        <v>55</v>
      </c>
      <c r="B21" s="79" t="s">
        <v>56</v>
      </c>
      <c r="C21" s="80">
        <f t="shared" si="1"/>
        <v>535.8</v>
      </c>
      <c r="D21" s="97"/>
      <c r="E21" s="82"/>
      <c r="F21" s="48"/>
    </row>
    <row r="22">
      <c r="A22" s="100" t="s">
        <v>59</v>
      </c>
      <c r="B22" s="101" t="s">
        <v>60</v>
      </c>
      <c r="C22" s="80">
        <f t="shared" si="1"/>
        <v>535.8</v>
      </c>
      <c r="D22" s="97"/>
      <c r="E22" s="82"/>
      <c r="F22" s="48"/>
    </row>
    <row r="23">
      <c r="A23" s="78" t="s">
        <v>61</v>
      </c>
      <c r="B23" s="79" t="s">
        <v>62</v>
      </c>
      <c r="C23" s="80">
        <f t="shared" si="1"/>
        <v>535.8</v>
      </c>
      <c r="D23" s="111"/>
      <c r="E23" s="82"/>
      <c r="F23" s="48"/>
    </row>
    <row r="24">
      <c r="A24" s="100" t="s">
        <v>167</v>
      </c>
      <c r="B24" s="101">
        <v>3.8332674883E10</v>
      </c>
      <c r="C24" s="80">
        <f t="shared" si="1"/>
        <v>535.8</v>
      </c>
      <c r="D24" s="97"/>
      <c r="E24" s="82"/>
      <c r="F24" s="48"/>
    </row>
    <row r="25">
      <c r="A25" s="112" t="s">
        <v>69</v>
      </c>
      <c r="B25" s="113" t="s">
        <v>70</v>
      </c>
      <c r="C25" s="80">
        <f t="shared" si="1"/>
        <v>535.8</v>
      </c>
      <c r="D25" s="111"/>
      <c r="E25" s="82"/>
      <c r="F25" s="48"/>
    </row>
    <row r="26">
      <c r="A26" s="100" t="s">
        <v>164</v>
      </c>
      <c r="B26" s="101" t="s">
        <v>165</v>
      </c>
      <c r="C26" s="80">
        <f t="shared" si="1"/>
        <v>535.8</v>
      </c>
      <c r="D26" s="111"/>
      <c r="E26" s="82"/>
      <c r="F26" s="48"/>
    </row>
    <row r="27">
      <c r="A27" s="78" t="s">
        <v>85</v>
      </c>
      <c r="B27" s="79" t="s">
        <v>86</v>
      </c>
      <c r="C27" s="80">
        <f t="shared" si="1"/>
        <v>535.8</v>
      </c>
      <c r="D27" s="97"/>
      <c r="E27" s="82"/>
      <c r="F27" s="48"/>
    </row>
    <row r="28">
      <c r="A28" s="100" t="s">
        <v>75</v>
      </c>
      <c r="B28" s="101" t="s">
        <v>76</v>
      </c>
      <c r="C28" s="80">
        <f t="shared" si="1"/>
        <v>535.8</v>
      </c>
      <c r="D28" s="97"/>
      <c r="E28" s="82"/>
      <c r="F28" s="48"/>
    </row>
    <row r="29">
      <c r="A29" s="78" t="s">
        <v>77</v>
      </c>
      <c r="B29" s="79" t="s">
        <v>78</v>
      </c>
      <c r="C29" s="80">
        <f t="shared" si="1"/>
        <v>535.8</v>
      </c>
      <c r="D29" s="97"/>
      <c r="E29" s="82"/>
      <c r="F29" s="48"/>
    </row>
    <row r="30">
      <c r="A30" s="107" t="s">
        <v>114</v>
      </c>
      <c r="B30" s="108" t="s">
        <v>115</v>
      </c>
      <c r="C30" s="80">
        <f t="shared" si="1"/>
        <v>535.8</v>
      </c>
      <c r="D30" s="5"/>
      <c r="E30" s="82"/>
      <c r="F30" s="48"/>
    </row>
    <row r="31">
      <c r="A31" s="118" t="s">
        <v>134</v>
      </c>
      <c r="B31" s="114" t="s">
        <v>135</v>
      </c>
      <c r="C31" s="80">
        <f t="shared" si="1"/>
        <v>535.8</v>
      </c>
      <c r="E31" s="82"/>
      <c r="F31" s="48"/>
    </row>
    <row r="32">
      <c r="A32" s="119" t="s">
        <v>152</v>
      </c>
      <c r="B32" s="116" t="s">
        <v>153</v>
      </c>
      <c r="C32" s="80">
        <f t="shared" si="1"/>
        <v>535.8</v>
      </c>
      <c r="E32" s="82"/>
      <c r="F32" s="48"/>
    </row>
    <row r="33">
      <c r="A33" s="118" t="s">
        <v>139</v>
      </c>
      <c r="B33" s="114" t="s">
        <v>140</v>
      </c>
      <c r="C33" s="80">
        <f t="shared" si="1"/>
        <v>535.8</v>
      </c>
      <c r="E33" s="82"/>
      <c r="F33" s="48"/>
    </row>
    <row r="34">
      <c r="A34" s="116" t="s">
        <v>171</v>
      </c>
      <c r="B34" s="116" t="s">
        <v>169</v>
      </c>
      <c r="C34" s="109">
        <f t="shared" si="1"/>
        <v>535.8</v>
      </c>
      <c r="E34" s="82"/>
      <c r="F34" s="48"/>
    </row>
    <row r="35">
      <c r="A35" s="116" t="s">
        <v>172</v>
      </c>
      <c r="B35" s="116" t="s">
        <v>169</v>
      </c>
      <c r="C35" s="109">
        <f t="shared" si="1"/>
        <v>535.8</v>
      </c>
    </row>
  </sheetData>
  <mergeCells count="30">
    <mergeCell ref="A1:D6"/>
    <mergeCell ref="E1:F1"/>
    <mergeCell ref="A8:C8"/>
    <mergeCell ref="E8:F8"/>
    <mergeCell ref="E9:F9"/>
    <mergeCell ref="E10:F10"/>
    <mergeCell ref="E11:F11"/>
    <mergeCell ref="E12:F12"/>
    <mergeCell ref="E13:F13"/>
    <mergeCell ref="E14:F14"/>
    <mergeCell ref="E15:F15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34:F34"/>
    <mergeCell ref="E35:F35"/>
    <mergeCell ref="E27:F27"/>
    <mergeCell ref="E28:F28"/>
    <mergeCell ref="E29:F29"/>
    <mergeCell ref="E30:F30"/>
    <mergeCell ref="E31:F31"/>
    <mergeCell ref="E32:F32"/>
    <mergeCell ref="E33:F33"/>
  </mergeCells>
  <printOptions gridLines="1" horizontalCentered="1"/>
  <pageMargins bottom="0.75" footer="0.0" header="0.0" left="0.25" right="0.25" top="0.75"/>
  <pageSetup paperSize="9" cellComments="atEnd" orientation="portrait" pageOrder="overThenDown"/>
  <drawing r:id="rId2"/>
  <legacyDrawing r:id="rId3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63"/>
    <col customWidth="1" min="4" max="4" width="8.75"/>
    <col customWidth="1" min="5" max="5" width="51.25"/>
    <col customWidth="1" min="6" max="6" width="7.75"/>
  </cols>
  <sheetData>
    <row r="1">
      <c r="A1" s="13" t="s">
        <v>87</v>
      </c>
      <c r="E1" s="14" t="s">
        <v>3</v>
      </c>
      <c r="F1" s="15"/>
    </row>
    <row r="2">
      <c r="A2" s="19"/>
      <c r="E2" s="5"/>
      <c r="F2" s="10"/>
    </row>
    <row r="3">
      <c r="A3" s="19"/>
      <c r="E3" s="18"/>
      <c r="F3" s="26">
        <f>SUM(C10:C34)</f>
        <v>12408</v>
      </c>
    </row>
    <row r="4">
      <c r="A4" s="19"/>
      <c r="E4" s="31"/>
      <c r="F4" s="34"/>
    </row>
    <row r="5">
      <c r="A5" s="19"/>
      <c r="E5" s="36" t="s">
        <v>14</v>
      </c>
      <c r="F5" s="37">
        <f>F3</f>
        <v>12408</v>
      </c>
    </row>
    <row r="6">
      <c r="A6" s="19"/>
      <c r="E6" s="39"/>
      <c r="F6" s="10"/>
    </row>
    <row r="7">
      <c r="A7" s="40">
        <v>28.2</v>
      </c>
      <c r="B7" s="41">
        <v>20.0</v>
      </c>
      <c r="C7" s="43" t="s">
        <v>21</v>
      </c>
      <c r="D7" s="110" t="s">
        <v>117</v>
      </c>
      <c r="E7" s="5"/>
      <c r="F7" s="10"/>
    </row>
    <row r="8">
      <c r="A8" s="42" t="s">
        <v>156</v>
      </c>
      <c r="D8" s="45"/>
      <c r="E8" s="47" t="s">
        <v>24</v>
      </c>
      <c r="F8" s="48"/>
    </row>
    <row r="9">
      <c r="A9" s="49" t="s">
        <v>25</v>
      </c>
      <c r="B9" s="50" t="s">
        <v>26</v>
      </c>
      <c r="C9" s="50" t="s">
        <v>119</v>
      </c>
      <c r="D9" s="51"/>
      <c r="E9" s="54" t="s">
        <v>28</v>
      </c>
      <c r="F9" s="48"/>
    </row>
    <row r="10">
      <c r="A10" s="78"/>
      <c r="B10" s="79"/>
      <c r="C10" s="80"/>
      <c r="D10" s="97"/>
      <c r="E10" s="82" t="s">
        <v>157</v>
      </c>
      <c r="F10" s="48"/>
    </row>
    <row r="11">
      <c r="A11" s="83"/>
      <c r="B11" s="84"/>
      <c r="C11" s="80"/>
      <c r="D11" s="111"/>
      <c r="E11" s="82" t="s">
        <v>157</v>
      </c>
      <c r="F11" s="48"/>
    </row>
    <row r="12">
      <c r="A12" s="78" t="s">
        <v>33</v>
      </c>
      <c r="B12" s="79" t="s">
        <v>34</v>
      </c>
      <c r="C12" s="80">
        <f t="shared" ref="C12:C15" si="1">28.2*$B$7</f>
        <v>564</v>
      </c>
      <c r="D12" s="111"/>
      <c r="E12" s="82"/>
      <c r="F12" s="48"/>
    </row>
    <row r="13">
      <c r="A13" s="83" t="s">
        <v>35</v>
      </c>
      <c r="B13" s="84" t="s">
        <v>36</v>
      </c>
      <c r="C13" s="80">
        <f t="shared" si="1"/>
        <v>564</v>
      </c>
      <c r="D13" s="97"/>
      <c r="E13" s="82"/>
      <c r="F13" s="48"/>
    </row>
    <row r="14">
      <c r="A14" s="78" t="s">
        <v>39</v>
      </c>
      <c r="B14" s="79" t="s">
        <v>40</v>
      </c>
      <c r="C14" s="80">
        <f t="shared" si="1"/>
        <v>564</v>
      </c>
      <c r="D14" s="111"/>
      <c r="E14" s="82"/>
      <c r="F14" s="48"/>
    </row>
    <row r="15">
      <c r="A15" s="78" t="s">
        <v>43</v>
      </c>
      <c r="B15" s="79" t="s">
        <v>44</v>
      </c>
      <c r="C15" s="80">
        <f t="shared" si="1"/>
        <v>564</v>
      </c>
      <c r="D15" s="111"/>
      <c r="E15" s="82"/>
      <c r="F15" s="48"/>
    </row>
    <row r="16">
      <c r="A16" s="78"/>
      <c r="B16" s="79"/>
      <c r="C16" s="80"/>
      <c r="D16" s="111"/>
      <c r="E16" s="99"/>
      <c r="F16" s="99"/>
    </row>
    <row r="17">
      <c r="A17" s="83" t="s">
        <v>47</v>
      </c>
      <c r="B17" s="84" t="s">
        <v>48</v>
      </c>
      <c r="C17" s="80">
        <f t="shared" ref="C17:C35" si="2">28.2*$B$7</f>
        <v>564</v>
      </c>
      <c r="D17" s="111"/>
      <c r="E17" s="82"/>
      <c r="F17" s="48"/>
    </row>
    <row r="18">
      <c r="A18" s="85" t="s">
        <v>100</v>
      </c>
      <c r="B18" s="87" t="s">
        <v>101</v>
      </c>
      <c r="C18" s="80">
        <f t="shared" si="2"/>
        <v>564</v>
      </c>
      <c r="D18" s="97"/>
      <c r="E18" s="82"/>
      <c r="F18" s="48"/>
      <c r="H18" s="103" t="str">
        <f>H173</f>
        <v/>
      </c>
    </row>
    <row r="19">
      <c r="A19" s="78" t="s">
        <v>80</v>
      </c>
      <c r="B19" s="79" t="s">
        <v>81</v>
      </c>
      <c r="C19" s="80">
        <f t="shared" si="2"/>
        <v>564</v>
      </c>
      <c r="D19" s="97"/>
      <c r="E19" s="82"/>
      <c r="F19" s="48"/>
    </row>
    <row r="20">
      <c r="A20" s="100" t="s">
        <v>168</v>
      </c>
      <c r="B20" s="101" t="s">
        <v>169</v>
      </c>
      <c r="C20" s="80">
        <f t="shared" si="2"/>
        <v>564</v>
      </c>
      <c r="D20" s="97"/>
      <c r="E20" s="82"/>
      <c r="F20" s="48"/>
    </row>
    <row r="21">
      <c r="A21" s="78" t="s">
        <v>55</v>
      </c>
      <c r="B21" s="79" t="s">
        <v>56</v>
      </c>
      <c r="C21" s="80">
        <f t="shared" si="2"/>
        <v>564</v>
      </c>
      <c r="D21" s="97"/>
      <c r="E21" s="82"/>
      <c r="F21" s="48"/>
    </row>
    <row r="22">
      <c r="A22" s="100" t="s">
        <v>59</v>
      </c>
      <c r="B22" s="101" t="s">
        <v>60</v>
      </c>
      <c r="C22" s="80">
        <f t="shared" si="2"/>
        <v>564</v>
      </c>
      <c r="D22" s="97"/>
      <c r="E22" s="82"/>
      <c r="F22" s="48"/>
    </row>
    <row r="23">
      <c r="A23" s="78" t="s">
        <v>61</v>
      </c>
      <c r="B23" s="79" t="s">
        <v>62</v>
      </c>
      <c r="C23" s="80">
        <f t="shared" si="2"/>
        <v>564</v>
      </c>
      <c r="D23" s="111"/>
      <c r="E23" s="82"/>
      <c r="F23" s="48"/>
    </row>
    <row r="24">
      <c r="A24" s="100" t="s">
        <v>167</v>
      </c>
      <c r="B24" s="101">
        <v>3.8332674883E10</v>
      </c>
      <c r="C24" s="80">
        <f t="shared" si="2"/>
        <v>564</v>
      </c>
      <c r="D24" s="97"/>
      <c r="E24" s="82"/>
      <c r="F24" s="48"/>
    </row>
    <row r="25">
      <c r="A25" s="112" t="s">
        <v>69</v>
      </c>
      <c r="B25" s="113" t="s">
        <v>70</v>
      </c>
      <c r="C25" s="80">
        <f t="shared" si="2"/>
        <v>564</v>
      </c>
      <c r="D25" s="111"/>
      <c r="E25" s="82"/>
      <c r="F25" s="48"/>
    </row>
    <row r="26">
      <c r="A26" s="100" t="s">
        <v>164</v>
      </c>
      <c r="B26" s="101" t="s">
        <v>165</v>
      </c>
      <c r="C26" s="80">
        <f t="shared" si="2"/>
        <v>564</v>
      </c>
      <c r="D26" s="111"/>
      <c r="E26" s="82"/>
      <c r="F26" s="48"/>
    </row>
    <row r="27">
      <c r="A27" s="78" t="s">
        <v>85</v>
      </c>
      <c r="B27" s="79" t="s">
        <v>86</v>
      </c>
      <c r="C27" s="80">
        <f t="shared" si="2"/>
        <v>564</v>
      </c>
      <c r="D27" s="97"/>
      <c r="E27" s="82"/>
      <c r="F27" s="48"/>
    </row>
    <row r="28">
      <c r="A28" s="100" t="s">
        <v>75</v>
      </c>
      <c r="B28" s="101" t="s">
        <v>76</v>
      </c>
      <c r="C28" s="80">
        <f t="shared" si="2"/>
        <v>564</v>
      </c>
      <c r="D28" s="97"/>
      <c r="E28" s="82"/>
      <c r="F28" s="48"/>
    </row>
    <row r="29">
      <c r="A29" s="78" t="s">
        <v>77</v>
      </c>
      <c r="B29" s="79" t="s">
        <v>78</v>
      </c>
      <c r="C29" s="80">
        <f t="shared" si="2"/>
        <v>564</v>
      </c>
      <c r="D29" s="97"/>
      <c r="E29" s="82"/>
      <c r="F29" s="48"/>
    </row>
    <row r="30">
      <c r="A30" s="107" t="s">
        <v>114</v>
      </c>
      <c r="B30" s="108" t="s">
        <v>115</v>
      </c>
      <c r="C30" s="80">
        <f t="shared" si="2"/>
        <v>564</v>
      </c>
      <c r="D30" s="5"/>
      <c r="E30" s="82"/>
      <c r="F30" s="48"/>
    </row>
    <row r="31">
      <c r="A31" s="118" t="s">
        <v>134</v>
      </c>
      <c r="B31" s="114" t="s">
        <v>135</v>
      </c>
      <c r="C31" s="80">
        <f t="shared" si="2"/>
        <v>564</v>
      </c>
      <c r="E31" s="82"/>
      <c r="F31" s="48"/>
    </row>
    <row r="32">
      <c r="A32" s="119" t="s">
        <v>152</v>
      </c>
      <c r="B32" s="116" t="s">
        <v>153</v>
      </c>
      <c r="C32" s="80">
        <f t="shared" si="2"/>
        <v>564</v>
      </c>
      <c r="E32" s="82"/>
      <c r="F32" s="48"/>
    </row>
    <row r="33">
      <c r="A33" s="118" t="s">
        <v>139</v>
      </c>
      <c r="B33" s="114" t="s">
        <v>140</v>
      </c>
      <c r="C33" s="80">
        <f t="shared" si="2"/>
        <v>564</v>
      </c>
      <c r="E33" s="82"/>
      <c r="F33" s="48"/>
    </row>
    <row r="34">
      <c r="A34" s="116" t="s">
        <v>171</v>
      </c>
      <c r="B34" s="116" t="s">
        <v>169</v>
      </c>
      <c r="C34" s="109">
        <f t="shared" si="2"/>
        <v>564</v>
      </c>
      <c r="E34" s="82"/>
      <c r="F34" s="48"/>
    </row>
    <row r="35">
      <c r="A35" s="116" t="s">
        <v>172</v>
      </c>
      <c r="B35" s="116" t="s">
        <v>169</v>
      </c>
      <c r="C35" s="109">
        <f t="shared" si="2"/>
        <v>564</v>
      </c>
    </row>
  </sheetData>
  <mergeCells count="30">
    <mergeCell ref="A1:D6"/>
    <mergeCell ref="E1:F1"/>
    <mergeCell ref="A8:C8"/>
    <mergeCell ref="E8:F8"/>
    <mergeCell ref="E9:F9"/>
    <mergeCell ref="E10:F10"/>
    <mergeCell ref="E11:F11"/>
    <mergeCell ref="E12:F12"/>
    <mergeCell ref="E13:F13"/>
    <mergeCell ref="E14:F14"/>
    <mergeCell ref="E15:F15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34:F34"/>
    <mergeCell ref="E35:F35"/>
    <mergeCell ref="E27:F27"/>
    <mergeCell ref="E28:F28"/>
    <mergeCell ref="E29:F29"/>
    <mergeCell ref="E30:F30"/>
    <mergeCell ref="E31:F31"/>
    <mergeCell ref="E32:F32"/>
    <mergeCell ref="E33:F33"/>
  </mergeCells>
  <printOptions gridLines="1" horizontalCentered="1"/>
  <pageMargins bottom="0.75" footer="0.0" header="0.0" left="0.25" right="0.25" top="0.75"/>
  <pageSetup paperSize="9" cellComments="atEnd" orientation="portrait" pageOrder="overThenDown"/>
  <drawing r:id="rId2"/>
  <legacyDrawing r:id="rId3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63"/>
    <col customWidth="1" min="4" max="4" width="8.75"/>
    <col customWidth="1" min="5" max="5" width="51.25"/>
    <col customWidth="1" min="6" max="6" width="7.75"/>
  </cols>
  <sheetData>
    <row r="1">
      <c r="A1" s="13" t="s">
        <v>87</v>
      </c>
      <c r="E1" s="14" t="s">
        <v>3</v>
      </c>
      <c r="F1" s="15"/>
    </row>
    <row r="2">
      <c r="A2" s="19"/>
      <c r="E2" s="5"/>
      <c r="F2" s="10"/>
    </row>
    <row r="3">
      <c r="A3" s="19"/>
      <c r="E3" s="18"/>
      <c r="F3" s="26">
        <f>SUM(C10:C34)</f>
        <v>15125.6</v>
      </c>
    </row>
    <row r="4">
      <c r="A4" s="19"/>
      <c r="E4" s="31"/>
      <c r="F4" s="34"/>
    </row>
    <row r="5">
      <c r="A5" s="19"/>
      <c r="E5" s="36" t="s">
        <v>14</v>
      </c>
      <c r="F5" s="37">
        <f>F3</f>
        <v>15125.6</v>
      </c>
    </row>
    <row r="6">
      <c r="A6" s="19"/>
      <c r="E6" s="39"/>
      <c r="F6" s="10"/>
    </row>
    <row r="7">
      <c r="A7" s="40">
        <v>29.6</v>
      </c>
      <c r="B7" s="41">
        <v>22.0</v>
      </c>
      <c r="C7" s="43" t="s">
        <v>21</v>
      </c>
      <c r="D7" s="110" t="s">
        <v>117</v>
      </c>
      <c r="E7" s="5"/>
      <c r="F7" s="10"/>
    </row>
    <row r="8">
      <c r="A8" s="42" t="s">
        <v>156</v>
      </c>
      <c r="D8" s="45"/>
      <c r="E8" s="47" t="s">
        <v>24</v>
      </c>
      <c r="F8" s="48"/>
    </row>
    <row r="9">
      <c r="A9" s="49" t="s">
        <v>25</v>
      </c>
      <c r="B9" s="50" t="s">
        <v>26</v>
      </c>
      <c r="C9" s="50" t="s">
        <v>119</v>
      </c>
      <c r="D9" s="51"/>
      <c r="E9" s="54" t="s">
        <v>28</v>
      </c>
      <c r="F9" s="48"/>
    </row>
    <row r="10">
      <c r="A10" s="122" t="s">
        <v>147</v>
      </c>
      <c r="B10" s="124" t="s">
        <v>148</v>
      </c>
      <c r="C10" s="80">
        <f t="shared" ref="C10:C20" si="1">29.6*$B$7</f>
        <v>651.2</v>
      </c>
      <c r="D10" s="97"/>
      <c r="E10" s="82"/>
      <c r="F10" s="48"/>
    </row>
    <row r="11">
      <c r="A11" s="129" t="s">
        <v>149</v>
      </c>
      <c r="B11" s="131" t="s">
        <v>150</v>
      </c>
      <c r="C11" s="80">
        <f t="shared" si="1"/>
        <v>651.2</v>
      </c>
      <c r="D11" s="111"/>
      <c r="E11" s="82"/>
      <c r="F11" s="48"/>
    </row>
    <row r="12">
      <c r="A12" s="78" t="s">
        <v>33</v>
      </c>
      <c r="B12" s="79" t="s">
        <v>34</v>
      </c>
      <c r="C12" s="80">
        <f t="shared" si="1"/>
        <v>651.2</v>
      </c>
      <c r="D12" s="111"/>
      <c r="E12" s="82"/>
      <c r="F12" s="48"/>
    </row>
    <row r="13">
      <c r="A13" s="83" t="s">
        <v>35</v>
      </c>
      <c r="B13" s="84" t="s">
        <v>36</v>
      </c>
      <c r="C13" s="80">
        <f t="shared" si="1"/>
        <v>651.2</v>
      </c>
      <c r="D13" s="97"/>
      <c r="E13" s="82"/>
      <c r="F13" s="48"/>
    </row>
    <row r="14">
      <c r="A14" s="78" t="s">
        <v>39</v>
      </c>
      <c r="B14" s="79" t="s">
        <v>40</v>
      </c>
      <c r="C14" s="80">
        <f t="shared" si="1"/>
        <v>651.2</v>
      </c>
      <c r="D14" s="111"/>
      <c r="E14" s="82"/>
      <c r="F14" s="48"/>
    </row>
    <row r="15">
      <c r="A15" s="78" t="s">
        <v>43</v>
      </c>
      <c r="B15" s="79" t="s">
        <v>44</v>
      </c>
      <c r="C15" s="80">
        <f t="shared" si="1"/>
        <v>651.2</v>
      </c>
      <c r="D15" s="111"/>
      <c r="E15" s="82"/>
      <c r="F15" s="48"/>
    </row>
    <row r="16">
      <c r="A16" s="78"/>
      <c r="B16" s="79"/>
      <c r="C16" s="80">
        <f t="shared" si="1"/>
        <v>651.2</v>
      </c>
      <c r="D16" s="111"/>
      <c r="E16" s="99"/>
      <c r="F16" s="99"/>
    </row>
    <row r="17">
      <c r="A17" s="83" t="s">
        <v>47</v>
      </c>
      <c r="B17" s="84" t="s">
        <v>48</v>
      </c>
      <c r="C17" s="80">
        <f t="shared" si="1"/>
        <v>651.2</v>
      </c>
      <c r="D17" s="111"/>
      <c r="E17" s="82"/>
      <c r="F17" s="48"/>
    </row>
    <row r="18">
      <c r="A18" s="85" t="s">
        <v>100</v>
      </c>
      <c r="B18" s="87" t="s">
        <v>101</v>
      </c>
      <c r="C18" s="80">
        <f t="shared" si="1"/>
        <v>651.2</v>
      </c>
      <c r="D18" s="97"/>
      <c r="E18" s="82"/>
      <c r="F18" s="48"/>
      <c r="H18" s="103" t="str">
        <f>H173</f>
        <v/>
      </c>
    </row>
    <row r="19">
      <c r="A19" s="78" t="s">
        <v>80</v>
      </c>
      <c r="B19" s="79" t="s">
        <v>81</v>
      </c>
      <c r="C19" s="80">
        <f t="shared" si="1"/>
        <v>651.2</v>
      </c>
      <c r="D19" s="97"/>
      <c r="E19" s="82"/>
      <c r="F19" s="48"/>
    </row>
    <row r="20">
      <c r="A20" s="100" t="s">
        <v>168</v>
      </c>
      <c r="B20" s="101" t="s">
        <v>169</v>
      </c>
      <c r="C20" s="80">
        <f t="shared" si="1"/>
        <v>651.2</v>
      </c>
      <c r="D20" s="97"/>
      <c r="E20" s="82"/>
      <c r="F20" s="48"/>
    </row>
    <row r="21">
      <c r="A21" s="78" t="s">
        <v>55</v>
      </c>
      <c r="B21" s="79" t="s">
        <v>56</v>
      </c>
      <c r="C21" s="80">
        <f>29.6*8</f>
        <v>236.8</v>
      </c>
      <c r="D21" s="97"/>
      <c r="E21" s="82" t="s">
        <v>179</v>
      </c>
      <c r="F21" s="48"/>
    </row>
    <row r="22">
      <c r="A22" s="100" t="s">
        <v>59</v>
      </c>
      <c r="B22" s="101" t="s">
        <v>60</v>
      </c>
      <c r="C22" s="80">
        <f>29.6*19</f>
        <v>562.4</v>
      </c>
      <c r="D22" s="97"/>
      <c r="E22" s="82"/>
      <c r="F22" s="48"/>
    </row>
    <row r="23">
      <c r="A23" s="78" t="s">
        <v>61</v>
      </c>
      <c r="B23" s="79" t="s">
        <v>62</v>
      </c>
      <c r="C23" s="80">
        <f t="shared" ref="C23:C24" si="2">29.6*$B$7</f>
        <v>651.2</v>
      </c>
      <c r="D23" s="111"/>
      <c r="E23" s="82"/>
      <c r="F23" s="48"/>
    </row>
    <row r="24">
      <c r="A24" s="100" t="s">
        <v>167</v>
      </c>
      <c r="B24" s="101">
        <v>3.8332674883E10</v>
      </c>
      <c r="C24" s="80">
        <f t="shared" si="2"/>
        <v>651.2</v>
      </c>
      <c r="D24" s="97"/>
      <c r="E24" s="82"/>
      <c r="F24" s="48"/>
    </row>
    <row r="25">
      <c r="A25" s="112" t="s">
        <v>69</v>
      </c>
      <c r="B25" s="113" t="s">
        <v>70</v>
      </c>
      <c r="C25" s="80">
        <f>29.6*9</f>
        <v>266.4</v>
      </c>
      <c r="D25" s="111"/>
      <c r="E25" s="82" t="s">
        <v>182</v>
      </c>
      <c r="F25" s="48"/>
    </row>
    <row r="26">
      <c r="A26" s="100" t="s">
        <v>164</v>
      </c>
      <c r="B26" s="101" t="s">
        <v>165</v>
      </c>
      <c r="C26" s="80">
        <f t="shared" ref="C26:C27" si="3">29.6*$B$7</f>
        <v>651.2</v>
      </c>
      <c r="D26" s="111"/>
      <c r="E26" s="82"/>
      <c r="F26" s="48"/>
    </row>
    <row r="27">
      <c r="A27" s="78" t="s">
        <v>85</v>
      </c>
      <c r="B27" s="79" t="s">
        <v>86</v>
      </c>
      <c r="C27" s="80">
        <f t="shared" si="3"/>
        <v>651.2</v>
      </c>
      <c r="D27" s="97"/>
      <c r="E27" s="82"/>
      <c r="F27" s="48"/>
    </row>
    <row r="28">
      <c r="A28" s="100" t="s">
        <v>75</v>
      </c>
      <c r="B28" s="101" t="s">
        <v>76</v>
      </c>
      <c r="C28" s="80">
        <f>29.6*13</f>
        <v>384.8</v>
      </c>
      <c r="D28" s="97"/>
      <c r="E28" s="82" t="s">
        <v>185</v>
      </c>
      <c r="F28" s="48"/>
    </row>
    <row r="29">
      <c r="A29" s="78" t="s">
        <v>77</v>
      </c>
      <c r="B29" s="79" t="s">
        <v>78</v>
      </c>
      <c r="C29" s="80">
        <f t="shared" ref="C29:C35" si="4">29.6*$B$7</f>
        <v>651.2</v>
      </c>
      <c r="D29" s="97"/>
      <c r="E29" s="82"/>
      <c r="F29" s="48"/>
    </row>
    <row r="30">
      <c r="A30" s="107" t="s">
        <v>114</v>
      </c>
      <c r="B30" s="108" t="s">
        <v>115</v>
      </c>
      <c r="C30" s="80">
        <f t="shared" si="4"/>
        <v>651.2</v>
      </c>
      <c r="D30" s="5"/>
      <c r="E30" s="82"/>
      <c r="F30" s="48"/>
    </row>
    <row r="31">
      <c r="A31" s="118" t="s">
        <v>134</v>
      </c>
      <c r="B31" s="114" t="s">
        <v>135</v>
      </c>
      <c r="C31" s="80">
        <f t="shared" si="4"/>
        <v>651.2</v>
      </c>
      <c r="E31" s="82"/>
      <c r="F31" s="48"/>
    </row>
    <row r="32">
      <c r="A32" s="119" t="s">
        <v>152</v>
      </c>
      <c r="B32" s="116" t="s">
        <v>153</v>
      </c>
      <c r="C32" s="80">
        <f t="shared" si="4"/>
        <v>651.2</v>
      </c>
      <c r="E32" s="82"/>
      <c r="F32" s="48"/>
    </row>
    <row r="33">
      <c r="A33" s="118" t="s">
        <v>139</v>
      </c>
      <c r="B33" s="114" t="s">
        <v>140</v>
      </c>
      <c r="C33" s="80">
        <f t="shared" si="4"/>
        <v>651.2</v>
      </c>
      <c r="E33" s="82"/>
      <c r="F33" s="48"/>
    </row>
    <row r="34">
      <c r="A34" s="116" t="s">
        <v>171</v>
      </c>
      <c r="B34" s="116" t="s">
        <v>169</v>
      </c>
      <c r="C34" s="80">
        <f t="shared" si="4"/>
        <v>651.2</v>
      </c>
      <c r="E34" s="82"/>
      <c r="F34" s="48"/>
    </row>
    <row r="35">
      <c r="A35" s="116" t="s">
        <v>172</v>
      </c>
      <c r="B35" s="116" t="s">
        <v>169</v>
      </c>
      <c r="C35" s="80">
        <f t="shared" si="4"/>
        <v>651.2</v>
      </c>
    </row>
  </sheetData>
  <mergeCells count="30">
    <mergeCell ref="A1:D6"/>
    <mergeCell ref="E1:F1"/>
    <mergeCell ref="A8:C8"/>
    <mergeCell ref="E8:F8"/>
    <mergeCell ref="E9:F9"/>
    <mergeCell ref="E10:F10"/>
    <mergeCell ref="E11:F11"/>
    <mergeCell ref="E12:F12"/>
    <mergeCell ref="E13:F13"/>
    <mergeCell ref="E14:F14"/>
    <mergeCell ref="E15:F15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34:F34"/>
    <mergeCell ref="E35:F35"/>
    <mergeCell ref="E27:F27"/>
    <mergeCell ref="E28:F28"/>
    <mergeCell ref="E29:F29"/>
    <mergeCell ref="E30:F30"/>
    <mergeCell ref="E31:F31"/>
    <mergeCell ref="E32:F32"/>
    <mergeCell ref="E33:F33"/>
  </mergeCells>
  <printOptions gridLines="1" horizontalCentered="1"/>
  <pageMargins bottom="0.75" footer="0.0" header="0.0" left="0.25" right="0.25" top="0.75"/>
  <pageSetup paperSize="9" cellComments="atEnd" orientation="portrait" pageOrder="overThenDown"/>
  <drawing r:id="rId2"/>
  <legacyDrawing r:id="rId3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63"/>
    <col customWidth="1" min="4" max="4" width="8.75"/>
    <col customWidth="1" min="5" max="5" width="51.25"/>
    <col customWidth="1" min="6" max="6" width="7.75"/>
  </cols>
  <sheetData>
    <row r="1">
      <c r="A1" s="13" t="s">
        <v>87</v>
      </c>
      <c r="E1" s="14" t="s">
        <v>3</v>
      </c>
      <c r="F1" s="15"/>
    </row>
    <row r="2">
      <c r="A2" s="19"/>
      <c r="E2" s="5"/>
      <c r="F2" s="10"/>
    </row>
    <row r="3">
      <c r="A3" s="19"/>
      <c r="E3" s="18" t="s">
        <v>173</v>
      </c>
      <c r="F3" s="26">
        <f>F5+F29</f>
        <v>15096</v>
      </c>
    </row>
    <row r="4">
      <c r="A4" s="19"/>
      <c r="E4" s="31"/>
      <c r="F4" s="34"/>
    </row>
    <row r="5">
      <c r="A5" s="19"/>
      <c r="E5" s="121" t="s">
        <v>14</v>
      </c>
      <c r="F5" s="125">
        <f>SUM(C10:C27)</f>
        <v>10123.2</v>
      </c>
    </row>
    <row r="6">
      <c r="A6" s="19"/>
      <c r="E6" s="39"/>
      <c r="F6" s="10"/>
    </row>
    <row r="7">
      <c r="A7" s="40">
        <v>29.6</v>
      </c>
      <c r="B7" s="41">
        <v>21.0</v>
      </c>
      <c r="C7" s="43" t="s">
        <v>21</v>
      </c>
      <c r="D7" s="110" t="s">
        <v>117</v>
      </c>
      <c r="E7" s="5"/>
      <c r="F7" s="10"/>
    </row>
    <row r="8">
      <c r="A8" s="42" t="s">
        <v>174</v>
      </c>
      <c r="D8" s="45"/>
      <c r="E8" s="47" t="s">
        <v>24</v>
      </c>
      <c r="F8" s="48"/>
    </row>
    <row r="9">
      <c r="A9" s="49" t="s">
        <v>25</v>
      </c>
      <c r="B9" s="50" t="s">
        <v>26</v>
      </c>
      <c r="C9" s="50" t="s">
        <v>119</v>
      </c>
      <c r="D9" s="51"/>
      <c r="E9" s="54" t="s">
        <v>28</v>
      </c>
      <c r="F9" s="48"/>
    </row>
    <row r="10">
      <c r="A10" s="83" t="s">
        <v>33</v>
      </c>
      <c r="B10" s="84" t="s">
        <v>34</v>
      </c>
      <c r="C10" s="58">
        <f t="shared" ref="C10:C18" si="1">29.6*$B$7</f>
        <v>621.6</v>
      </c>
      <c r="D10" s="111"/>
      <c r="E10" s="82"/>
      <c r="F10" s="48"/>
    </row>
    <row r="11">
      <c r="A11" s="83" t="s">
        <v>35</v>
      </c>
      <c r="B11" s="84" t="s">
        <v>36</v>
      </c>
      <c r="C11" s="58">
        <f t="shared" si="1"/>
        <v>621.6</v>
      </c>
      <c r="D11" s="97"/>
      <c r="E11" s="82"/>
      <c r="F11" s="48"/>
    </row>
    <row r="12">
      <c r="A12" s="83" t="s">
        <v>43</v>
      </c>
      <c r="B12" s="84" t="s">
        <v>44</v>
      </c>
      <c r="C12" s="58">
        <f t="shared" si="1"/>
        <v>621.6</v>
      </c>
      <c r="D12" s="111"/>
      <c r="E12" s="82"/>
      <c r="F12" s="48"/>
    </row>
    <row r="13">
      <c r="A13" s="83" t="s">
        <v>100</v>
      </c>
      <c r="B13" s="84" t="s">
        <v>101</v>
      </c>
      <c r="C13" s="58">
        <f t="shared" si="1"/>
        <v>621.6</v>
      </c>
      <c r="D13" s="97"/>
      <c r="E13" s="82"/>
      <c r="F13" s="48"/>
      <c r="H13" s="103" t="str">
        <f>H165</f>
        <v/>
      </c>
    </row>
    <row r="14">
      <c r="A14" s="83" t="s">
        <v>168</v>
      </c>
      <c r="B14" s="84" t="s">
        <v>169</v>
      </c>
      <c r="C14" s="58">
        <f t="shared" si="1"/>
        <v>621.6</v>
      </c>
      <c r="D14" s="97"/>
      <c r="E14" s="82"/>
      <c r="F14" s="48"/>
    </row>
    <row r="15">
      <c r="A15" s="83" t="s">
        <v>55</v>
      </c>
      <c r="B15" s="84" t="s">
        <v>56</v>
      </c>
      <c r="C15" s="58">
        <f t="shared" si="1"/>
        <v>621.6</v>
      </c>
      <c r="D15" s="97"/>
      <c r="E15" s="82"/>
      <c r="F15" s="48"/>
    </row>
    <row r="16">
      <c r="A16" s="138" t="s">
        <v>139</v>
      </c>
      <c r="B16" s="141" t="s">
        <v>140</v>
      </c>
      <c r="C16" s="58">
        <f t="shared" si="1"/>
        <v>621.6</v>
      </c>
      <c r="E16" s="82"/>
      <c r="F16" s="48"/>
    </row>
    <row r="17">
      <c r="A17" s="129" t="s">
        <v>147</v>
      </c>
      <c r="B17" s="131" t="s">
        <v>148</v>
      </c>
      <c r="C17" s="58">
        <f t="shared" si="1"/>
        <v>621.6</v>
      </c>
      <c r="D17" s="97"/>
      <c r="E17" s="82"/>
      <c r="F17" s="48"/>
    </row>
    <row r="18">
      <c r="A18" s="83" t="s">
        <v>61</v>
      </c>
      <c r="B18" s="84" t="s">
        <v>62</v>
      </c>
      <c r="C18" s="58">
        <f t="shared" si="1"/>
        <v>621.6</v>
      </c>
      <c r="D18" s="111"/>
      <c r="E18" s="82"/>
      <c r="F18" s="48"/>
    </row>
    <row r="19">
      <c r="A19" s="145" t="s">
        <v>180</v>
      </c>
      <c r="B19" s="84" t="s">
        <v>181</v>
      </c>
      <c r="C19" s="58">
        <v>621.6</v>
      </c>
      <c r="D19" s="111"/>
      <c r="E19" s="99"/>
      <c r="F19" s="99"/>
    </row>
    <row r="20">
      <c r="A20" s="83" t="s">
        <v>164</v>
      </c>
      <c r="B20" s="84" t="s">
        <v>165</v>
      </c>
      <c r="C20" s="58">
        <f t="shared" ref="C20:C23" si="2">29.6*$B$7</f>
        <v>621.6</v>
      </c>
      <c r="D20" s="111"/>
      <c r="E20" s="82"/>
      <c r="F20" s="48"/>
    </row>
    <row r="21">
      <c r="A21" s="150" t="s">
        <v>114</v>
      </c>
      <c r="B21" s="84" t="s">
        <v>115</v>
      </c>
      <c r="C21" s="58">
        <f t="shared" si="2"/>
        <v>621.6</v>
      </c>
      <c r="D21" s="5"/>
      <c r="E21" s="82"/>
      <c r="F21" s="48"/>
    </row>
    <row r="22">
      <c r="A22" s="154" t="s">
        <v>171</v>
      </c>
      <c r="B22" s="141" t="s">
        <v>169</v>
      </c>
      <c r="C22" s="58">
        <f t="shared" si="2"/>
        <v>621.6</v>
      </c>
      <c r="E22" s="82"/>
      <c r="F22" s="48"/>
    </row>
    <row r="23">
      <c r="A23" s="157" t="s">
        <v>167</v>
      </c>
      <c r="B23" s="108">
        <v>3.8332674883E10</v>
      </c>
      <c r="C23" s="58">
        <f t="shared" si="2"/>
        <v>621.6</v>
      </c>
      <c r="D23" s="97"/>
      <c r="E23" s="82"/>
      <c r="F23" s="48"/>
    </row>
    <row r="24">
      <c r="A24" s="157" t="s">
        <v>85</v>
      </c>
      <c r="B24" s="108" t="s">
        <v>86</v>
      </c>
      <c r="C24" s="58">
        <v>0.0</v>
      </c>
      <c r="D24" s="97"/>
      <c r="E24" s="82" t="s">
        <v>187</v>
      </c>
      <c r="F24" s="48"/>
    </row>
    <row r="25">
      <c r="A25" s="157" t="s">
        <v>77</v>
      </c>
      <c r="B25" s="108" t="s">
        <v>78</v>
      </c>
      <c r="C25" s="58">
        <f>29.6*6</f>
        <v>177.6</v>
      </c>
      <c r="D25" s="97"/>
      <c r="E25" s="82" t="s">
        <v>189</v>
      </c>
      <c r="F25" s="48"/>
    </row>
    <row r="26">
      <c r="A26" s="161" t="s">
        <v>186</v>
      </c>
      <c r="B26" s="108">
        <v>1.1951048356E10</v>
      </c>
      <c r="C26" s="58">
        <v>621.6</v>
      </c>
      <c r="D26" s="97"/>
      <c r="E26" s="99"/>
      <c r="F26" s="99"/>
    </row>
    <row r="27">
      <c r="A27" s="116" t="s">
        <v>172</v>
      </c>
      <c r="B27" s="116" t="s">
        <v>169</v>
      </c>
      <c r="C27" s="58">
        <f>29.6*$B$7</f>
        <v>621.6</v>
      </c>
      <c r="E27" s="82"/>
      <c r="F27" s="48"/>
    </row>
    <row r="29">
      <c r="A29" s="165" t="s">
        <v>190</v>
      </c>
      <c r="E29" s="167"/>
      <c r="F29" s="171">
        <f>SUM(C31:C38)</f>
        <v>4972.8</v>
      </c>
    </row>
    <row r="31">
      <c r="A31" s="163" t="s">
        <v>39</v>
      </c>
      <c r="B31" s="164" t="s">
        <v>40</v>
      </c>
      <c r="C31" s="166">
        <f t="shared" ref="C31:C38" si="3">29.6*$B$7</f>
        <v>621.6</v>
      </c>
      <c r="D31" s="177"/>
      <c r="E31" s="175"/>
      <c r="F31" s="91"/>
      <c r="G31" s="170"/>
      <c r="H31" s="170"/>
      <c r="I31" s="170"/>
      <c r="J31" s="170"/>
      <c r="K31" s="170"/>
      <c r="L31" s="170"/>
      <c r="M31" s="170"/>
      <c r="N31" s="170"/>
      <c r="O31" s="170"/>
      <c r="P31" s="170"/>
      <c r="Q31" s="170"/>
      <c r="R31" s="170"/>
      <c r="S31" s="170"/>
      <c r="T31" s="170"/>
      <c r="U31" s="170"/>
      <c r="V31" s="170"/>
      <c r="W31" s="170"/>
      <c r="X31" s="170"/>
      <c r="Y31" s="170"/>
      <c r="Z31" s="170"/>
    </row>
    <row r="32">
      <c r="A32" s="172" t="s">
        <v>47</v>
      </c>
      <c r="B32" s="173" t="s">
        <v>48</v>
      </c>
      <c r="C32" s="174">
        <f t="shared" si="3"/>
        <v>621.6</v>
      </c>
      <c r="D32" s="177"/>
      <c r="E32" s="179"/>
      <c r="F32" s="48"/>
      <c r="G32" s="170"/>
      <c r="H32" s="170"/>
      <c r="I32" s="170"/>
      <c r="J32" s="170"/>
      <c r="K32" s="170"/>
      <c r="L32" s="170"/>
      <c r="M32" s="170"/>
      <c r="N32" s="170"/>
      <c r="O32" s="170"/>
      <c r="P32" s="170"/>
      <c r="Q32" s="170"/>
      <c r="R32" s="170"/>
      <c r="S32" s="170"/>
      <c r="T32" s="170"/>
      <c r="U32" s="170"/>
      <c r="V32" s="170"/>
      <c r="W32" s="170"/>
      <c r="X32" s="170"/>
      <c r="Y32" s="170"/>
      <c r="Z32" s="170"/>
    </row>
    <row r="33">
      <c r="A33" s="172" t="s">
        <v>192</v>
      </c>
      <c r="B33" s="173" t="s">
        <v>193</v>
      </c>
      <c r="C33" s="174">
        <f t="shared" si="3"/>
        <v>621.6</v>
      </c>
      <c r="D33" s="177"/>
      <c r="E33" s="179"/>
      <c r="F33" s="48"/>
      <c r="G33" s="170"/>
      <c r="H33" s="170"/>
      <c r="I33" s="170"/>
      <c r="J33" s="170"/>
      <c r="K33" s="170"/>
      <c r="L33" s="170"/>
      <c r="M33" s="170"/>
      <c r="N33" s="170"/>
      <c r="O33" s="170"/>
      <c r="P33" s="170"/>
      <c r="Q33" s="170"/>
      <c r="R33" s="170"/>
      <c r="S33" s="170"/>
      <c r="T33" s="170"/>
      <c r="U33" s="170"/>
      <c r="V33" s="170"/>
      <c r="W33" s="170"/>
      <c r="X33" s="170"/>
      <c r="Y33" s="170"/>
      <c r="Z33" s="170"/>
    </row>
    <row r="34">
      <c r="A34" s="172" t="s">
        <v>80</v>
      </c>
      <c r="B34" s="173" t="s">
        <v>81</v>
      </c>
      <c r="C34" s="174">
        <f t="shared" si="3"/>
        <v>621.6</v>
      </c>
      <c r="D34" s="177"/>
      <c r="E34" s="179"/>
      <c r="F34" s="48"/>
      <c r="G34" s="170"/>
      <c r="H34" s="170"/>
      <c r="I34" s="170"/>
      <c r="J34" s="170"/>
      <c r="K34" s="170"/>
      <c r="L34" s="170"/>
      <c r="M34" s="170"/>
      <c r="N34" s="170"/>
      <c r="O34" s="170"/>
      <c r="P34" s="170"/>
      <c r="Q34" s="170"/>
      <c r="R34" s="170"/>
      <c r="S34" s="170"/>
      <c r="T34" s="170"/>
      <c r="U34" s="170"/>
      <c r="V34" s="170"/>
      <c r="W34" s="170"/>
      <c r="X34" s="170"/>
      <c r="Y34" s="170"/>
      <c r="Z34" s="170"/>
    </row>
    <row r="35">
      <c r="A35" s="172" t="s">
        <v>59</v>
      </c>
      <c r="B35" s="173" t="s">
        <v>60</v>
      </c>
      <c r="C35" s="174">
        <f t="shared" si="3"/>
        <v>621.6</v>
      </c>
      <c r="D35" s="177"/>
      <c r="E35" s="179"/>
      <c r="F35" s="48"/>
      <c r="G35" s="170"/>
      <c r="H35" s="170"/>
      <c r="I35" s="170"/>
      <c r="J35" s="170"/>
      <c r="K35" s="170"/>
      <c r="L35" s="170"/>
      <c r="M35" s="170"/>
      <c r="N35" s="170"/>
      <c r="O35" s="170"/>
      <c r="P35" s="170"/>
      <c r="Q35" s="170"/>
      <c r="R35" s="170"/>
      <c r="S35" s="170"/>
      <c r="T35" s="170"/>
      <c r="U35" s="170"/>
      <c r="V35" s="170"/>
      <c r="W35" s="170"/>
      <c r="X35" s="170"/>
      <c r="Y35" s="170"/>
      <c r="Z35" s="170"/>
    </row>
    <row r="36">
      <c r="A36" s="172" t="s">
        <v>152</v>
      </c>
      <c r="B36" s="183" t="s">
        <v>153</v>
      </c>
      <c r="C36" s="174">
        <f t="shared" si="3"/>
        <v>621.6</v>
      </c>
      <c r="D36" s="187"/>
      <c r="E36" s="179"/>
      <c r="F36" s="48"/>
      <c r="G36" s="170"/>
      <c r="H36" s="170"/>
      <c r="I36" s="170"/>
      <c r="J36" s="170"/>
      <c r="K36" s="170"/>
      <c r="L36" s="170"/>
      <c r="M36" s="170"/>
      <c r="N36" s="170"/>
      <c r="O36" s="170"/>
      <c r="P36" s="170"/>
      <c r="Q36" s="170"/>
      <c r="R36" s="170"/>
      <c r="S36" s="170"/>
      <c r="T36" s="170"/>
      <c r="U36" s="170"/>
      <c r="V36" s="170"/>
      <c r="W36" s="170"/>
      <c r="X36" s="170"/>
      <c r="Y36" s="170"/>
      <c r="Z36" s="170"/>
    </row>
    <row r="37">
      <c r="A37" s="172" t="s">
        <v>134</v>
      </c>
      <c r="B37" s="183" t="s">
        <v>135</v>
      </c>
      <c r="C37" s="174">
        <f t="shared" si="3"/>
        <v>621.6</v>
      </c>
      <c r="D37" s="187"/>
      <c r="E37" s="179"/>
      <c r="F37" s="48"/>
      <c r="G37" s="170"/>
      <c r="H37" s="170"/>
      <c r="I37" s="170"/>
      <c r="J37" s="170"/>
      <c r="K37" s="170"/>
      <c r="L37" s="170"/>
      <c r="M37" s="170"/>
      <c r="N37" s="170"/>
      <c r="O37" s="170"/>
      <c r="P37" s="170"/>
      <c r="Q37" s="170"/>
      <c r="R37" s="170"/>
      <c r="S37" s="170"/>
      <c r="T37" s="170"/>
      <c r="U37" s="170"/>
      <c r="V37" s="170"/>
      <c r="W37" s="170"/>
      <c r="X37" s="170"/>
      <c r="Y37" s="170"/>
      <c r="Z37" s="170"/>
    </row>
    <row r="38">
      <c r="A38" s="172" t="s">
        <v>75</v>
      </c>
      <c r="B38" s="173" t="s">
        <v>76</v>
      </c>
      <c r="C38" s="174">
        <f t="shared" si="3"/>
        <v>621.6</v>
      </c>
      <c r="D38" s="177"/>
      <c r="E38" s="179"/>
      <c r="F38" s="48"/>
      <c r="G38" s="170"/>
      <c r="H38" s="170"/>
      <c r="I38" s="170"/>
      <c r="J38" s="170"/>
      <c r="K38" s="170"/>
      <c r="L38" s="170"/>
      <c r="M38" s="170"/>
      <c r="N38" s="170"/>
      <c r="O38" s="170"/>
      <c r="P38" s="170"/>
      <c r="Q38" s="170"/>
      <c r="R38" s="170"/>
      <c r="S38" s="170"/>
      <c r="T38" s="170"/>
      <c r="U38" s="170"/>
      <c r="V38" s="170"/>
      <c r="W38" s="170"/>
      <c r="X38" s="170"/>
      <c r="Y38" s="170"/>
      <c r="Z38" s="170"/>
    </row>
  </sheetData>
  <mergeCells count="30">
    <mergeCell ref="A1:D6"/>
    <mergeCell ref="E1:F1"/>
    <mergeCell ref="A8:C8"/>
    <mergeCell ref="E8:F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20:F20"/>
    <mergeCell ref="E21:F21"/>
    <mergeCell ref="E22:F22"/>
    <mergeCell ref="E23:F23"/>
    <mergeCell ref="E24:F24"/>
    <mergeCell ref="E25:F25"/>
    <mergeCell ref="A29:C30"/>
    <mergeCell ref="E37:F37"/>
    <mergeCell ref="E38:F38"/>
    <mergeCell ref="E27:F27"/>
    <mergeCell ref="E31:F31"/>
    <mergeCell ref="E32:F32"/>
    <mergeCell ref="E33:F33"/>
    <mergeCell ref="E34:F34"/>
    <mergeCell ref="E35:F35"/>
    <mergeCell ref="E36:F36"/>
  </mergeCells>
  <printOptions gridLines="1" horizontalCentered="1"/>
  <pageMargins bottom="0.75" footer="0.0" header="0.0" left="0.25" right="0.25" top="0.75"/>
  <pageSetup paperSize="9" cellComments="atEnd" orientation="portrait" pageOrder="overThenDown"/>
  <drawing r:id="rId2"/>
  <legacyDrawing r:id="rId3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63"/>
    <col customWidth="1" min="4" max="4" width="8.75"/>
    <col customWidth="1" min="5" max="5" width="51.25"/>
    <col customWidth="1" min="6" max="6" width="7.75"/>
  </cols>
  <sheetData>
    <row r="1">
      <c r="A1" s="13" t="s">
        <v>87</v>
      </c>
      <c r="E1" s="14" t="s">
        <v>3</v>
      </c>
      <c r="F1" s="15"/>
    </row>
    <row r="2">
      <c r="A2" s="19"/>
      <c r="E2" s="5"/>
      <c r="F2" s="10"/>
    </row>
    <row r="3">
      <c r="A3" s="19"/>
      <c r="E3" s="18" t="s">
        <v>173</v>
      </c>
      <c r="F3" s="26">
        <f>F5+F29</f>
        <v>14652</v>
      </c>
    </row>
    <row r="4">
      <c r="A4" s="19"/>
      <c r="E4" s="31"/>
      <c r="F4" s="34"/>
    </row>
    <row r="5">
      <c r="A5" s="19"/>
      <c r="E5" s="121" t="s">
        <v>14</v>
      </c>
      <c r="F5" s="125">
        <f>SUM(C10:C27)</f>
        <v>10212</v>
      </c>
    </row>
    <row r="6">
      <c r="A6" s="19"/>
      <c r="E6" s="39"/>
      <c r="F6" s="10"/>
    </row>
    <row r="7">
      <c r="A7" s="40">
        <v>29.6</v>
      </c>
      <c r="B7" s="41">
        <v>20.0</v>
      </c>
      <c r="C7" s="43" t="s">
        <v>21</v>
      </c>
      <c r="D7" s="110" t="s">
        <v>117</v>
      </c>
      <c r="E7" s="5"/>
      <c r="F7" s="10"/>
    </row>
    <row r="8">
      <c r="A8" s="42" t="s">
        <v>175</v>
      </c>
      <c r="D8" s="45"/>
      <c r="E8" s="47" t="s">
        <v>24</v>
      </c>
      <c r="F8" s="48"/>
    </row>
    <row r="9">
      <c r="A9" s="49" t="s">
        <v>176</v>
      </c>
      <c r="B9" s="50" t="s">
        <v>26</v>
      </c>
      <c r="C9" s="50" t="s">
        <v>119</v>
      </c>
      <c r="D9" s="51"/>
      <c r="E9" s="54" t="s">
        <v>28</v>
      </c>
      <c r="F9" s="48"/>
    </row>
    <row r="10">
      <c r="A10" s="83" t="s">
        <v>33</v>
      </c>
      <c r="B10" s="84" t="s">
        <v>34</v>
      </c>
      <c r="C10" s="58">
        <f t="shared" ref="C10:C20" si="1">29.6*$B$7</f>
        <v>592</v>
      </c>
      <c r="D10" s="111" t="s">
        <v>178</v>
      </c>
      <c r="E10" s="82"/>
      <c r="F10" s="48"/>
    </row>
    <row r="11">
      <c r="A11" s="83" t="s">
        <v>35</v>
      </c>
      <c r="B11" s="84" t="s">
        <v>36</v>
      </c>
      <c r="C11" s="58">
        <f t="shared" si="1"/>
        <v>592</v>
      </c>
      <c r="D11" s="111" t="s">
        <v>178</v>
      </c>
      <c r="E11" s="82"/>
      <c r="F11" s="48"/>
    </row>
    <row r="12">
      <c r="A12" s="83" t="s">
        <v>43</v>
      </c>
      <c r="B12" s="84" t="s">
        <v>44</v>
      </c>
      <c r="C12" s="58">
        <f t="shared" si="1"/>
        <v>592</v>
      </c>
      <c r="D12" s="111" t="s">
        <v>178</v>
      </c>
      <c r="E12" s="82"/>
      <c r="F12" s="48"/>
    </row>
    <row r="13">
      <c r="A13" s="83" t="s">
        <v>100</v>
      </c>
      <c r="B13" s="84" t="s">
        <v>101</v>
      </c>
      <c r="C13" s="58">
        <f t="shared" si="1"/>
        <v>592</v>
      </c>
      <c r="D13" s="111" t="s">
        <v>178</v>
      </c>
      <c r="E13" s="82"/>
      <c r="F13" s="48"/>
      <c r="H13" s="103" t="str">
        <f>H165</f>
        <v/>
      </c>
    </row>
    <row r="14">
      <c r="A14" s="83" t="s">
        <v>168</v>
      </c>
      <c r="B14" s="84" t="s">
        <v>169</v>
      </c>
      <c r="C14" s="58">
        <f t="shared" si="1"/>
        <v>592</v>
      </c>
      <c r="D14" s="111" t="s">
        <v>178</v>
      </c>
      <c r="E14" s="82"/>
      <c r="F14" s="48"/>
    </row>
    <row r="15">
      <c r="A15" s="83" t="s">
        <v>55</v>
      </c>
      <c r="B15" s="84" t="s">
        <v>56</v>
      </c>
      <c r="C15" s="58">
        <f t="shared" si="1"/>
        <v>592</v>
      </c>
      <c r="D15" s="111" t="s">
        <v>178</v>
      </c>
      <c r="E15" s="82"/>
      <c r="F15" s="48"/>
    </row>
    <row r="16">
      <c r="A16" s="138" t="s">
        <v>139</v>
      </c>
      <c r="B16" s="141" t="s">
        <v>140</v>
      </c>
      <c r="C16" s="58">
        <f t="shared" si="1"/>
        <v>592</v>
      </c>
      <c r="D16" s="140" t="s">
        <v>178</v>
      </c>
      <c r="E16" s="82"/>
      <c r="F16" s="48"/>
    </row>
    <row r="17">
      <c r="A17" s="129" t="s">
        <v>147</v>
      </c>
      <c r="B17" s="131" t="s">
        <v>148</v>
      </c>
      <c r="C17" s="58">
        <f t="shared" si="1"/>
        <v>592</v>
      </c>
      <c r="D17" s="111" t="s">
        <v>178</v>
      </c>
      <c r="E17" s="82"/>
      <c r="F17" s="48"/>
    </row>
    <row r="18">
      <c r="A18" s="83" t="s">
        <v>61</v>
      </c>
      <c r="B18" s="84" t="s">
        <v>62</v>
      </c>
      <c r="C18" s="58">
        <f t="shared" si="1"/>
        <v>592</v>
      </c>
      <c r="D18" s="111" t="s">
        <v>178</v>
      </c>
      <c r="E18" s="82"/>
      <c r="F18" s="48"/>
    </row>
    <row r="19">
      <c r="A19" s="145" t="s">
        <v>180</v>
      </c>
      <c r="B19" s="84" t="s">
        <v>181</v>
      </c>
      <c r="C19" s="58">
        <f t="shared" si="1"/>
        <v>592</v>
      </c>
      <c r="D19" s="147" t="s">
        <v>178</v>
      </c>
      <c r="E19" s="99"/>
      <c r="F19" s="99"/>
    </row>
    <row r="20">
      <c r="A20" s="83" t="s">
        <v>164</v>
      </c>
      <c r="B20" s="84" t="s">
        <v>165</v>
      </c>
      <c r="C20" s="58">
        <f t="shared" si="1"/>
        <v>592</v>
      </c>
      <c r="D20" s="147" t="s">
        <v>178</v>
      </c>
      <c r="E20" s="82"/>
      <c r="F20" s="48"/>
    </row>
    <row r="21">
      <c r="A21" s="150" t="s">
        <v>114</v>
      </c>
      <c r="B21" s="84" t="s">
        <v>115</v>
      </c>
      <c r="C21" s="58">
        <f>5*A7</f>
        <v>148</v>
      </c>
      <c r="D21" s="151" t="s">
        <v>178</v>
      </c>
      <c r="E21" s="82" t="s">
        <v>184</v>
      </c>
      <c r="F21" s="48"/>
    </row>
    <row r="22">
      <c r="A22" s="154" t="s">
        <v>171</v>
      </c>
      <c r="B22" s="141" t="s">
        <v>169</v>
      </c>
      <c r="C22" s="58">
        <f t="shared" ref="C22:C27" si="2">29.6*$B$7</f>
        <v>592</v>
      </c>
      <c r="D22" s="155" t="s">
        <v>178</v>
      </c>
      <c r="E22" s="82"/>
      <c r="F22" s="48"/>
    </row>
    <row r="23">
      <c r="A23" s="157" t="s">
        <v>167</v>
      </c>
      <c r="B23" s="108">
        <v>3.8332674883E10</v>
      </c>
      <c r="C23" s="58">
        <f t="shared" si="2"/>
        <v>592</v>
      </c>
      <c r="D23" s="147" t="s">
        <v>178</v>
      </c>
      <c r="E23" s="82"/>
      <c r="F23" s="48"/>
    </row>
    <row r="24">
      <c r="A24" s="157" t="s">
        <v>85</v>
      </c>
      <c r="B24" s="108" t="s">
        <v>86</v>
      </c>
      <c r="C24" s="58">
        <f t="shared" si="2"/>
        <v>592</v>
      </c>
      <c r="D24" s="147" t="s">
        <v>178</v>
      </c>
      <c r="E24" s="82"/>
      <c r="F24" s="48"/>
    </row>
    <row r="25">
      <c r="A25" s="157" t="s">
        <v>77</v>
      </c>
      <c r="B25" s="108" t="s">
        <v>78</v>
      </c>
      <c r="C25" s="58">
        <f t="shared" si="2"/>
        <v>592</v>
      </c>
      <c r="D25" s="147" t="s">
        <v>178</v>
      </c>
      <c r="E25" s="82"/>
      <c r="F25" s="48"/>
    </row>
    <row r="26">
      <c r="A26" s="161" t="s">
        <v>186</v>
      </c>
      <c r="B26" s="108">
        <v>1.1951048356E10</v>
      </c>
      <c r="C26" s="58">
        <f t="shared" si="2"/>
        <v>592</v>
      </c>
      <c r="D26" s="147" t="s">
        <v>178</v>
      </c>
      <c r="E26" s="99"/>
      <c r="F26" s="99"/>
    </row>
    <row r="27">
      <c r="A27" s="116" t="s">
        <v>172</v>
      </c>
      <c r="B27" s="116" t="s">
        <v>169</v>
      </c>
      <c r="C27" s="58">
        <f t="shared" si="2"/>
        <v>592</v>
      </c>
      <c r="D27" s="155" t="s">
        <v>178</v>
      </c>
      <c r="E27" s="82"/>
      <c r="F27" s="48"/>
    </row>
    <row r="29">
      <c r="A29" s="165" t="s">
        <v>190</v>
      </c>
      <c r="E29" s="167"/>
      <c r="F29" s="171">
        <f>SUM(C31:C39)</f>
        <v>4440</v>
      </c>
    </row>
    <row r="31">
      <c r="A31" s="163" t="s">
        <v>39</v>
      </c>
      <c r="B31" s="164" t="s">
        <v>40</v>
      </c>
      <c r="C31" s="166">
        <f t="shared" ref="C31:C37" si="3">29.6*$B$7</f>
        <v>592</v>
      </c>
      <c r="D31" s="168" t="s">
        <v>178</v>
      </c>
      <c r="E31" s="175"/>
      <c r="F31" s="91"/>
      <c r="G31" s="170"/>
      <c r="H31" s="170"/>
      <c r="I31" s="170"/>
      <c r="J31" s="170"/>
      <c r="K31" s="170"/>
      <c r="L31" s="170"/>
      <c r="M31" s="170"/>
      <c r="N31" s="170"/>
      <c r="O31" s="170"/>
      <c r="P31" s="170"/>
      <c r="Q31" s="170"/>
      <c r="R31" s="170"/>
      <c r="S31" s="170"/>
      <c r="T31" s="170"/>
      <c r="U31" s="170"/>
      <c r="V31" s="170"/>
      <c r="W31" s="170"/>
      <c r="X31" s="170"/>
      <c r="Y31" s="170"/>
      <c r="Z31" s="170"/>
    </row>
    <row r="32">
      <c r="A32" s="172" t="s">
        <v>47</v>
      </c>
      <c r="B32" s="173" t="s">
        <v>48</v>
      </c>
      <c r="C32" s="174">
        <f t="shared" si="3"/>
        <v>592</v>
      </c>
      <c r="D32" s="168" t="s">
        <v>178</v>
      </c>
      <c r="E32" s="179"/>
      <c r="F32" s="48"/>
      <c r="G32" s="170"/>
      <c r="H32" s="170"/>
      <c r="I32" s="170"/>
      <c r="J32" s="170"/>
      <c r="K32" s="170"/>
      <c r="L32" s="170"/>
      <c r="M32" s="170"/>
      <c r="N32" s="170"/>
      <c r="O32" s="170"/>
      <c r="P32" s="170"/>
      <c r="Q32" s="170"/>
      <c r="R32" s="170"/>
      <c r="S32" s="170"/>
      <c r="T32" s="170"/>
      <c r="U32" s="170"/>
      <c r="V32" s="170"/>
      <c r="W32" s="170"/>
      <c r="X32" s="170"/>
      <c r="Y32" s="170"/>
      <c r="Z32" s="170"/>
    </row>
    <row r="33">
      <c r="A33" s="172" t="s">
        <v>192</v>
      </c>
      <c r="B33" s="173" t="s">
        <v>193</v>
      </c>
      <c r="C33" s="174">
        <f t="shared" si="3"/>
        <v>592</v>
      </c>
      <c r="D33" s="168" t="s">
        <v>178</v>
      </c>
      <c r="E33" s="182"/>
      <c r="F33" s="48"/>
      <c r="G33" s="170"/>
      <c r="H33" s="170"/>
      <c r="I33" s="170"/>
      <c r="J33" s="170"/>
      <c r="K33" s="170"/>
      <c r="L33" s="170"/>
      <c r="M33" s="170"/>
      <c r="N33" s="170"/>
      <c r="O33" s="170"/>
      <c r="P33" s="170"/>
      <c r="Q33" s="170"/>
      <c r="R33" s="170"/>
      <c r="S33" s="170"/>
      <c r="T33" s="170"/>
      <c r="U33" s="170"/>
      <c r="V33" s="170"/>
      <c r="W33" s="170"/>
      <c r="X33" s="170"/>
      <c r="Y33" s="170"/>
      <c r="Z33" s="170"/>
    </row>
    <row r="34">
      <c r="A34" s="172" t="s">
        <v>80</v>
      </c>
      <c r="B34" s="173" t="s">
        <v>81</v>
      </c>
      <c r="C34" s="174">
        <f t="shared" si="3"/>
        <v>592</v>
      </c>
      <c r="D34" s="168" t="s">
        <v>178</v>
      </c>
      <c r="E34" s="179"/>
      <c r="F34" s="48"/>
      <c r="G34" s="170"/>
      <c r="H34" s="170"/>
      <c r="I34" s="170"/>
      <c r="J34" s="170"/>
      <c r="K34" s="170"/>
      <c r="L34" s="170"/>
      <c r="M34" s="170"/>
      <c r="N34" s="170"/>
      <c r="O34" s="170"/>
      <c r="P34" s="170"/>
      <c r="Q34" s="170"/>
      <c r="R34" s="170"/>
      <c r="S34" s="170"/>
      <c r="T34" s="170"/>
      <c r="U34" s="170"/>
      <c r="V34" s="170"/>
      <c r="W34" s="170"/>
      <c r="X34" s="170"/>
      <c r="Y34" s="170"/>
      <c r="Z34" s="170"/>
    </row>
    <row r="35">
      <c r="A35" s="172" t="s">
        <v>59</v>
      </c>
      <c r="B35" s="173" t="s">
        <v>60</v>
      </c>
      <c r="C35" s="174">
        <f t="shared" si="3"/>
        <v>592</v>
      </c>
      <c r="D35" s="168" t="s">
        <v>178</v>
      </c>
      <c r="E35" s="179"/>
      <c r="F35" s="48"/>
      <c r="G35" s="170"/>
      <c r="H35" s="170"/>
      <c r="I35" s="170"/>
      <c r="J35" s="170"/>
      <c r="K35" s="170"/>
      <c r="L35" s="170"/>
      <c r="M35" s="170"/>
      <c r="N35" s="170"/>
      <c r="O35" s="170"/>
      <c r="P35" s="170"/>
      <c r="Q35" s="170"/>
      <c r="R35" s="170"/>
      <c r="S35" s="170"/>
      <c r="T35" s="170"/>
      <c r="U35" s="170"/>
      <c r="V35" s="170"/>
      <c r="W35" s="170"/>
      <c r="X35" s="170"/>
      <c r="Y35" s="170"/>
      <c r="Z35" s="170"/>
    </row>
    <row r="36">
      <c r="A36" s="172" t="s">
        <v>152</v>
      </c>
      <c r="B36" s="183" t="s">
        <v>153</v>
      </c>
      <c r="C36" s="174">
        <f t="shared" si="3"/>
        <v>592</v>
      </c>
      <c r="D36" s="181" t="s">
        <v>178</v>
      </c>
      <c r="E36" s="179"/>
      <c r="F36" s="48"/>
      <c r="G36" s="170"/>
      <c r="H36" s="170"/>
      <c r="I36" s="170"/>
      <c r="J36" s="170"/>
      <c r="K36" s="170"/>
      <c r="L36" s="170"/>
      <c r="M36" s="170"/>
      <c r="N36" s="170"/>
      <c r="O36" s="170"/>
      <c r="P36" s="170"/>
      <c r="Q36" s="170"/>
      <c r="R36" s="170"/>
      <c r="S36" s="170"/>
      <c r="T36" s="170"/>
      <c r="U36" s="170"/>
      <c r="V36" s="170"/>
      <c r="W36" s="170"/>
      <c r="X36" s="170"/>
      <c r="Y36" s="170"/>
      <c r="Z36" s="170"/>
    </row>
    <row r="37">
      <c r="A37" s="172" t="s">
        <v>134</v>
      </c>
      <c r="B37" s="183" t="s">
        <v>135</v>
      </c>
      <c r="C37" s="174">
        <f t="shared" si="3"/>
        <v>592</v>
      </c>
      <c r="D37" s="181" t="s">
        <v>178</v>
      </c>
      <c r="E37" s="179"/>
      <c r="F37" s="48"/>
      <c r="G37" s="170"/>
      <c r="H37" s="170"/>
      <c r="I37" s="170"/>
      <c r="J37" s="170"/>
      <c r="K37" s="170"/>
      <c r="L37" s="170"/>
      <c r="M37" s="170"/>
      <c r="N37" s="170"/>
      <c r="O37" s="170"/>
      <c r="P37" s="170"/>
      <c r="Q37" s="170"/>
      <c r="R37" s="170"/>
      <c r="S37" s="170"/>
      <c r="T37" s="170"/>
      <c r="U37" s="170"/>
      <c r="V37" s="170"/>
      <c r="W37" s="170"/>
      <c r="X37" s="170"/>
      <c r="Y37" s="170"/>
      <c r="Z37" s="170"/>
    </row>
    <row r="38">
      <c r="A38" s="172" t="s">
        <v>75</v>
      </c>
      <c r="B38" s="173" t="s">
        <v>76</v>
      </c>
      <c r="C38" s="174">
        <f>29.6*5</f>
        <v>148</v>
      </c>
      <c r="D38" s="140" t="s">
        <v>178</v>
      </c>
      <c r="E38" s="182" t="s">
        <v>197</v>
      </c>
      <c r="F38" s="48"/>
      <c r="G38" s="170"/>
      <c r="H38" s="170"/>
      <c r="I38" s="170"/>
      <c r="J38" s="170"/>
      <c r="K38" s="170"/>
      <c r="L38" s="170"/>
      <c r="M38" s="170"/>
      <c r="N38" s="170"/>
      <c r="O38" s="170"/>
      <c r="P38" s="170"/>
      <c r="Q38" s="170"/>
      <c r="R38" s="170"/>
      <c r="S38" s="170"/>
      <c r="T38" s="170"/>
      <c r="U38" s="170"/>
      <c r="V38" s="170"/>
      <c r="W38" s="170"/>
      <c r="X38" s="170"/>
      <c r="Y38" s="170"/>
      <c r="Z38" s="170"/>
    </row>
    <row r="39">
      <c r="A39" s="119" t="s">
        <v>195</v>
      </c>
      <c r="B39" s="119" t="s">
        <v>196</v>
      </c>
      <c r="C39" s="185">
        <v>148.0</v>
      </c>
      <c r="D39" s="140" t="s">
        <v>178</v>
      </c>
      <c r="E39" s="179"/>
      <c r="F39" s="48"/>
    </row>
  </sheetData>
  <mergeCells count="31">
    <mergeCell ref="A1:D6"/>
    <mergeCell ref="E1:F1"/>
    <mergeCell ref="A8:C8"/>
    <mergeCell ref="E8:F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20:F20"/>
    <mergeCell ref="E21:F21"/>
    <mergeCell ref="E22:F22"/>
    <mergeCell ref="E23:F23"/>
    <mergeCell ref="E24:F24"/>
    <mergeCell ref="E25:F25"/>
    <mergeCell ref="A29:C30"/>
    <mergeCell ref="E37:F37"/>
    <mergeCell ref="E38:F38"/>
    <mergeCell ref="E39:F39"/>
    <mergeCell ref="E27:F27"/>
    <mergeCell ref="E31:F31"/>
    <mergeCell ref="E32:F32"/>
    <mergeCell ref="E33:F33"/>
    <mergeCell ref="E34:F34"/>
    <mergeCell ref="E35:F35"/>
    <mergeCell ref="E36:F36"/>
  </mergeCells>
  <printOptions gridLines="1" horizontalCentered="1"/>
  <pageMargins bottom="0.75" footer="0.0" header="0.0" left="0.25" right="0.25" top="0.75"/>
  <pageSetup paperSize="9" cellComments="atEnd" orientation="portrait" pageOrder="overThenDown"/>
  <drawing r:id="rId2"/>
  <legacyDrawing r:id="rId3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63"/>
    <col customWidth="1" min="4" max="4" width="8.75"/>
    <col customWidth="1" min="5" max="5" width="51.25"/>
    <col customWidth="1" min="6" max="6" width="7.75"/>
  </cols>
  <sheetData>
    <row r="1">
      <c r="A1" s="120" t="s">
        <v>87</v>
      </c>
      <c r="E1" s="14" t="s">
        <v>3</v>
      </c>
      <c r="F1" s="15"/>
    </row>
    <row r="2">
      <c r="A2" s="19"/>
      <c r="E2" s="5"/>
      <c r="F2" s="10"/>
    </row>
    <row r="3">
      <c r="A3" s="19"/>
      <c r="E3" s="123" t="s">
        <v>173</v>
      </c>
      <c r="F3" s="126">
        <f>F5+F29</f>
        <v>15332.8</v>
      </c>
    </row>
    <row r="4">
      <c r="A4" s="19"/>
      <c r="E4" s="127"/>
      <c r="F4" s="128"/>
    </row>
    <row r="5">
      <c r="A5" s="19"/>
      <c r="E5" s="130" t="s">
        <v>14</v>
      </c>
      <c r="F5" s="132">
        <f>SUM(C10:C26)</f>
        <v>10892.8</v>
      </c>
    </row>
    <row r="6">
      <c r="A6" s="19"/>
      <c r="E6" s="39"/>
      <c r="F6" s="10"/>
    </row>
    <row r="7">
      <c r="A7" s="40">
        <v>29.6</v>
      </c>
      <c r="B7" s="41">
        <v>22.0</v>
      </c>
      <c r="C7" s="43" t="s">
        <v>21</v>
      </c>
      <c r="D7" s="110" t="s">
        <v>117</v>
      </c>
      <c r="E7" s="5"/>
      <c r="F7" s="10"/>
    </row>
    <row r="8">
      <c r="A8" s="42" t="s">
        <v>177</v>
      </c>
      <c r="D8" s="45"/>
      <c r="E8" s="47" t="s">
        <v>24</v>
      </c>
      <c r="F8" s="48"/>
    </row>
    <row r="9">
      <c r="A9" s="49" t="s">
        <v>176</v>
      </c>
      <c r="B9" s="50" t="s">
        <v>26</v>
      </c>
      <c r="C9" s="50" t="s">
        <v>119</v>
      </c>
      <c r="D9" s="51"/>
      <c r="E9" s="54" t="s">
        <v>28</v>
      </c>
      <c r="F9" s="48"/>
    </row>
    <row r="10">
      <c r="A10" s="133" t="s">
        <v>33</v>
      </c>
      <c r="B10" s="134" t="s">
        <v>34</v>
      </c>
      <c r="C10" s="135">
        <f t="shared" ref="C10:C19" si="1">29.6*$B$7</f>
        <v>651.2</v>
      </c>
      <c r="D10" s="136" t="s">
        <v>178</v>
      </c>
      <c r="E10" s="137"/>
      <c r="F10" s="48"/>
    </row>
    <row r="11">
      <c r="A11" s="133" t="s">
        <v>35</v>
      </c>
      <c r="B11" s="134" t="s">
        <v>36</v>
      </c>
      <c r="C11" s="135">
        <f t="shared" si="1"/>
        <v>651.2</v>
      </c>
      <c r="D11" s="136" t="s">
        <v>178</v>
      </c>
      <c r="E11" s="137"/>
      <c r="F11" s="48"/>
    </row>
    <row r="12">
      <c r="A12" s="133" t="s">
        <v>43</v>
      </c>
      <c r="B12" s="134" t="s">
        <v>44</v>
      </c>
      <c r="C12" s="135">
        <f t="shared" si="1"/>
        <v>651.2</v>
      </c>
      <c r="D12" s="136" t="s">
        <v>178</v>
      </c>
      <c r="E12" s="137"/>
      <c r="F12" s="48"/>
    </row>
    <row r="13">
      <c r="A13" s="133" t="s">
        <v>168</v>
      </c>
      <c r="B13" s="134" t="s">
        <v>169</v>
      </c>
      <c r="C13" s="135">
        <f t="shared" si="1"/>
        <v>651.2</v>
      </c>
      <c r="D13" s="136" t="s">
        <v>178</v>
      </c>
      <c r="E13" s="137"/>
      <c r="F13" s="48"/>
      <c r="H13" s="103" t="str">
        <f>H165</f>
        <v/>
      </c>
    </row>
    <row r="14">
      <c r="A14" s="133" t="s">
        <v>55</v>
      </c>
      <c r="B14" s="134" t="s">
        <v>56</v>
      </c>
      <c r="C14" s="135">
        <f t="shared" si="1"/>
        <v>651.2</v>
      </c>
      <c r="D14" s="136" t="s">
        <v>178</v>
      </c>
      <c r="E14" s="137"/>
      <c r="F14" s="48"/>
    </row>
    <row r="15">
      <c r="A15" s="138" t="s">
        <v>139</v>
      </c>
      <c r="B15" s="139" t="s">
        <v>140</v>
      </c>
      <c r="C15" s="135">
        <f t="shared" si="1"/>
        <v>651.2</v>
      </c>
      <c r="D15" s="140" t="s">
        <v>178</v>
      </c>
      <c r="E15" s="137"/>
      <c r="F15" s="48"/>
    </row>
    <row r="16">
      <c r="A16" s="142" t="s">
        <v>147</v>
      </c>
      <c r="B16" s="143" t="s">
        <v>148</v>
      </c>
      <c r="C16" s="135">
        <f t="shared" si="1"/>
        <v>651.2</v>
      </c>
      <c r="D16" s="136" t="s">
        <v>178</v>
      </c>
      <c r="E16" s="137"/>
      <c r="F16" s="48"/>
    </row>
    <row r="17">
      <c r="A17" s="133" t="s">
        <v>61</v>
      </c>
      <c r="B17" s="134" t="s">
        <v>62</v>
      </c>
      <c r="C17" s="135">
        <f t="shared" si="1"/>
        <v>651.2</v>
      </c>
      <c r="D17" s="136" t="s">
        <v>178</v>
      </c>
      <c r="E17" s="137"/>
      <c r="F17" s="48"/>
    </row>
    <row r="18">
      <c r="A18" s="144" t="s">
        <v>180</v>
      </c>
      <c r="B18" s="134" t="s">
        <v>181</v>
      </c>
      <c r="C18" s="135">
        <f t="shared" si="1"/>
        <v>651.2</v>
      </c>
      <c r="D18" s="136" t="s">
        <v>178</v>
      </c>
      <c r="E18" s="137"/>
      <c r="F18" s="48"/>
    </row>
    <row r="19">
      <c r="A19" s="133" t="s">
        <v>164</v>
      </c>
      <c r="B19" s="134" t="s">
        <v>165</v>
      </c>
      <c r="C19" s="135">
        <f t="shared" si="1"/>
        <v>651.2</v>
      </c>
      <c r="D19" s="136" t="s">
        <v>178</v>
      </c>
      <c r="E19" s="137"/>
      <c r="F19" s="48"/>
    </row>
    <row r="20">
      <c r="A20" s="146" t="s">
        <v>114</v>
      </c>
      <c r="B20" s="134" t="s">
        <v>115</v>
      </c>
      <c r="C20" s="135">
        <f>16*A7</f>
        <v>473.6</v>
      </c>
      <c r="D20" s="148" t="s">
        <v>178</v>
      </c>
      <c r="E20" s="149" t="s">
        <v>183</v>
      </c>
      <c r="F20" s="48"/>
    </row>
    <row r="21">
      <c r="A21" s="138" t="s">
        <v>171</v>
      </c>
      <c r="B21" s="139" t="s">
        <v>169</v>
      </c>
      <c r="C21" s="135">
        <f t="shared" ref="C21:C26" si="2">29.6*$B$7</f>
        <v>651.2</v>
      </c>
      <c r="D21" s="140" t="s">
        <v>178</v>
      </c>
      <c r="E21" s="137"/>
      <c r="F21" s="48"/>
    </row>
    <row r="22">
      <c r="A22" s="152" t="s">
        <v>167</v>
      </c>
      <c r="B22" s="153">
        <v>3.8332674883E10</v>
      </c>
      <c r="C22" s="135">
        <f t="shared" si="2"/>
        <v>651.2</v>
      </c>
      <c r="D22" s="136" t="s">
        <v>178</v>
      </c>
      <c r="E22" s="137"/>
      <c r="F22" s="48"/>
    </row>
    <row r="23">
      <c r="A23" s="152" t="s">
        <v>85</v>
      </c>
      <c r="B23" s="153" t="s">
        <v>86</v>
      </c>
      <c r="C23" s="135">
        <f t="shared" si="2"/>
        <v>651.2</v>
      </c>
      <c r="D23" s="136" t="s">
        <v>178</v>
      </c>
      <c r="E23" s="137"/>
      <c r="F23" s="48"/>
    </row>
    <row r="24">
      <c r="A24" s="152" t="s">
        <v>77</v>
      </c>
      <c r="B24" s="153" t="s">
        <v>78</v>
      </c>
      <c r="C24" s="135">
        <f t="shared" si="2"/>
        <v>651.2</v>
      </c>
      <c r="D24" s="136" t="s">
        <v>178</v>
      </c>
      <c r="E24" s="137"/>
      <c r="F24" s="48"/>
    </row>
    <row r="25">
      <c r="A25" s="156" t="s">
        <v>186</v>
      </c>
      <c r="B25" s="153">
        <v>1.1951048356E10</v>
      </c>
      <c r="C25" s="135">
        <f t="shared" si="2"/>
        <v>651.2</v>
      </c>
      <c r="D25" s="136" t="s">
        <v>178</v>
      </c>
      <c r="E25" s="137"/>
      <c r="F25" s="48"/>
    </row>
    <row r="26">
      <c r="A26" s="119" t="s">
        <v>172</v>
      </c>
      <c r="B26" s="119" t="s">
        <v>169</v>
      </c>
      <c r="C26" s="135">
        <f t="shared" si="2"/>
        <v>651.2</v>
      </c>
      <c r="D26" s="140" t="s">
        <v>178</v>
      </c>
      <c r="E26" s="137"/>
      <c r="F26" s="48"/>
    </row>
    <row r="27">
      <c r="E27" s="158"/>
      <c r="F27" s="48"/>
    </row>
    <row r="29">
      <c r="A29" s="159" t="s">
        <v>188</v>
      </c>
      <c r="E29" s="160"/>
      <c r="F29" s="162">
        <f>SUM(C31:C38)</f>
        <v>4440</v>
      </c>
    </row>
    <row r="31">
      <c r="A31" s="163" t="s">
        <v>39</v>
      </c>
      <c r="B31" s="164" t="s">
        <v>40</v>
      </c>
      <c r="C31" s="166">
        <f>29.6*12</f>
        <v>355.2</v>
      </c>
      <c r="D31" s="168" t="s">
        <v>178</v>
      </c>
      <c r="E31" s="169" t="s">
        <v>191</v>
      </c>
      <c r="F31" s="91"/>
      <c r="G31" s="170"/>
      <c r="H31" s="170"/>
      <c r="I31" s="170"/>
      <c r="J31" s="170"/>
      <c r="K31" s="170"/>
      <c r="L31" s="170"/>
      <c r="M31" s="170"/>
      <c r="N31" s="170"/>
      <c r="O31" s="170"/>
      <c r="P31" s="170"/>
      <c r="Q31" s="170"/>
      <c r="R31" s="170"/>
      <c r="S31" s="170"/>
      <c r="T31" s="170"/>
      <c r="U31" s="170"/>
      <c r="V31" s="170"/>
      <c r="W31" s="170"/>
      <c r="X31" s="170"/>
      <c r="Y31" s="170"/>
      <c r="Z31" s="170"/>
    </row>
    <row r="32">
      <c r="A32" s="172" t="s">
        <v>47</v>
      </c>
      <c r="B32" s="173" t="s">
        <v>48</v>
      </c>
      <c r="C32" s="174">
        <f t="shared" ref="C32:C36" si="3">29.6*$B$7</f>
        <v>651.2</v>
      </c>
      <c r="D32" s="168" t="s">
        <v>178</v>
      </c>
      <c r="E32" s="176"/>
      <c r="F32" s="48"/>
      <c r="G32" s="170"/>
      <c r="H32" s="170"/>
      <c r="I32" s="170"/>
      <c r="J32" s="170"/>
      <c r="K32" s="170"/>
      <c r="L32" s="170"/>
      <c r="M32" s="170"/>
      <c r="N32" s="170"/>
      <c r="O32" s="170"/>
      <c r="P32" s="170"/>
      <c r="Q32" s="170"/>
      <c r="R32" s="170"/>
      <c r="S32" s="170"/>
      <c r="T32" s="170"/>
      <c r="U32" s="170"/>
      <c r="V32" s="170"/>
      <c r="W32" s="170"/>
      <c r="X32" s="170"/>
      <c r="Y32" s="170"/>
      <c r="Z32" s="170"/>
    </row>
    <row r="33">
      <c r="A33" s="172" t="s">
        <v>192</v>
      </c>
      <c r="B33" s="173" t="s">
        <v>193</v>
      </c>
      <c r="C33" s="174">
        <f t="shared" si="3"/>
        <v>651.2</v>
      </c>
      <c r="D33" s="168" t="s">
        <v>178</v>
      </c>
      <c r="E33" s="178"/>
      <c r="F33" s="48"/>
      <c r="G33" s="170"/>
      <c r="H33" s="170"/>
      <c r="I33" s="170"/>
      <c r="J33" s="170"/>
      <c r="K33" s="170"/>
      <c r="L33" s="170"/>
      <c r="M33" s="170"/>
      <c r="N33" s="170"/>
      <c r="O33" s="170"/>
      <c r="P33" s="170"/>
      <c r="Q33" s="170"/>
      <c r="R33" s="170"/>
      <c r="S33" s="170"/>
      <c r="T33" s="170"/>
      <c r="U33" s="170"/>
      <c r="V33" s="170"/>
      <c r="W33" s="170"/>
      <c r="X33" s="170"/>
      <c r="Y33" s="170"/>
      <c r="Z33" s="170"/>
    </row>
    <row r="34">
      <c r="A34" s="172" t="s">
        <v>80</v>
      </c>
      <c r="B34" s="173" t="s">
        <v>81</v>
      </c>
      <c r="C34" s="174">
        <f t="shared" si="3"/>
        <v>651.2</v>
      </c>
      <c r="D34" s="168" t="s">
        <v>178</v>
      </c>
      <c r="E34" s="176"/>
      <c r="F34" s="48"/>
      <c r="G34" s="170"/>
      <c r="H34" s="170"/>
      <c r="I34" s="170"/>
      <c r="J34" s="170"/>
      <c r="K34" s="170"/>
      <c r="L34" s="170"/>
      <c r="M34" s="170"/>
      <c r="N34" s="170"/>
      <c r="O34" s="170"/>
      <c r="P34" s="170"/>
      <c r="Q34" s="170"/>
      <c r="R34" s="170"/>
      <c r="S34" s="170"/>
      <c r="T34" s="170"/>
      <c r="U34" s="170"/>
      <c r="V34" s="170"/>
      <c r="W34" s="170"/>
      <c r="X34" s="170"/>
      <c r="Y34" s="170"/>
      <c r="Z34" s="170"/>
    </row>
    <row r="35">
      <c r="A35" s="172" t="s">
        <v>59</v>
      </c>
      <c r="B35" s="173" t="s">
        <v>60</v>
      </c>
      <c r="C35" s="174">
        <f t="shared" si="3"/>
        <v>651.2</v>
      </c>
      <c r="D35" s="168" t="s">
        <v>178</v>
      </c>
      <c r="E35" s="176"/>
      <c r="F35" s="48"/>
      <c r="G35" s="170"/>
      <c r="H35" s="170"/>
      <c r="I35" s="170"/>
      <c r="J35" s="170"/>
      <c r="K35" s="170"/>
      <c r="L35" s="170"/>
      <c r="M35" s="170"/>
      <c r="N35" s="170"/>
      <c r="O35" s="170"/>
      <c r="P35" s="170"/>
      <c r="Q35" s="170"/>
      <c r="R35" s="170"/>
      <c r="S35" s="170"/>
      <c r="T35" s="170"/>
      <c r="U35" s="170"/>
      <c r="V35" s="170"/>
      <c r="W35" s="170"/>
      <c r="X35" s="170"/>
      <c r="Y35" s="170"/>
      <c r="Z35" s="170"/>
    </row>
    <row r="36">
      <c r="A36" s="172" t="s">
        <v>152</v>
      </c>
      <c r="B36" s="180" t="s">
        <v>153</v>
      </c>
      <c r="C36" s="174">
        <f t="shared" si="3"/>
        <v>651.2</v>
      </c>
      <c r="D36" s="181" t="s">
        <v>178</v>
      </c>
      <c r="E36" s="176"/>
      <c r="F36" s="48"/>
      <c r="G36" s="170"/>
      <c r="H36" s="170"/>
      <c r="I36" s="170"/>
      <c r="J36" s="170"/>
      <c r="K36" s="170"/>
      <c r="L36" s="170"/>
      <c r="M36" s="170"/>
      <c r="N36" s="170"/>
      <c r="O36" s="170"/>
      <c r="P36" s="170"/>
      <c r="Q36" s="170"/>
      <c r="R36" s="170"/>
      <c r="S36" s="170"/>
      <c r="T36" s="170"/>
      <c r="U36" s="170"/>
      <c r="V36" s="170"/>
      <c r="W36" s="170"/>
      <c r="X36" s="170"/>
      <c r="Y36" s="170"/>
      <c r="Z36" s="170"/>
    </row>
    <row r="37">
      <c r="A37" s="172" t="s">
        <v>134</v>
      </c>
      <c r="B37" s="180" t="s">
        <v>135</v>
      </c>
      <c r="C37" s="174">
        <f>29.6*6</f>
        <v>177.6</v>
      </c>
      <c r="D37" s="181" t="s">
        <v>178</v>
      </c>
      <c r="E37" s="178" t="s">
        <v>194</v>
      </c>
      <c r="F37" s="48"/>
      <c r="G37" s="170"/>
      <c r="H37" s="170"/>
      <c r="I37" s="170"/>
      <c r="J37" s="170"/>
      <c r="K37" s="170"/>
      <c r="L37" s="170"/>
      <c r="M37" s="170"/>
      <c r="N37" s="170"/>
      <c r="O37" s="170"/>
      <c r="P37" s="170"/>
      <c r="Q37" s="170"/>
      <c r="R37" s="170"/>
      <c r="S37" s="170"/>
      <c r="T37" s="170"/>
      <c r="U37" s="170"/>
      <c r="V37" s="170"/>
      <c r="W37" s="170"/>
      <c r="X37" s="170"/>
      <c r="Y37" s="170"/>
      <c r="Z37" s="170"/>
    </row>
    <row r="38">
      <c r="A38" s="119" t="s">
        <v>195</v>
      </c>
      <c r="B38" s="119" t="s">
        <v>196</v>
      </c>
      <c r="C38" s="174">
        <f>29.6*$B$7</f>
        <v>651.2</v>
      </c>
      <c r="D38" s="168" t="s">
        <v>178</v>
      </c>
      <c r="E38" s="178"/>
      <c r="F38" s="48"/>
      <c r="G38" s="170"/>
      <c r="H38" s="170"/>
      <c r="I38" s="170"/>
      <c r="J38" s="170"/>
      <c r="K38" s="170"/>
      <c r="L38" s="170"/>
      <c r="M38" s="170"/>
      <c r="N38" s="170"/>
      <c r="O38" s="170"/>
      <c r="P38" s="170"/>
      <c r="Q38" s="170"/>
      <c r="R38" s="170"/>
      <c r="S38" s="170"/>
      <c r="T38" s="170"/>
      <c r="U38" s="170"/>
      <c r="V38" s="170"/>
      <c r="W38" s="170"/>
      <c r="X38" s="170"/>
      <c r="Y38" s="170"/>
      <c r="Z38" s="170"/>
    </row>
    <row r="39">
      <c r="E39" s="184"/>
      <c r="F39" s="91"/>
    </row>
  </sheetData>
  <mergeCells count="33">
    <mergeCell ref="A1:D6"/>
    <mergeCell ref="E1:F1"/>
    <mergeCell ref="A8:C8"/>
    <mergeCell ref="E8:F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35:F35"/>
    <mergeCell ref="E36:F36"/>
    <mergeCell ref="E37:F37"/>
    <mergeCell ref="E38:F38"/>
    <mergeCell ref="E39:F39"/>
    <mergeCell ref="E26:F26"/>
    <mergeCell ref="E27:F27"/>
    <mergeCell ref="A29:C30"/>
    <mergeCell ref="E31:F31"/>
    <mergeCell ref="E32:F32"/>
    <mergeCell ref="E33:F33"/>
    <mergeCell ref="E34:F34"/>
  </mergeCells>
  <printOptions gridLines="1" horizontalCentered="1"/>
  <pageMargins bottom="0.75" footer="0.0" header="0.0" left="0.25" right="0.25" top="0.75"/>
  <pageSetup paperSize="9" cellComments="atEnd" orientation="portrait" pageOrder="overThenDown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63"/>
    <col customWidth="1" min="4" max="4" width="8.75"/>
    <col customWidth="1" min="5" max="5" width="51.25"/>
    <col customWidth="1" min="6" max="6" width="7.75"/>
  </cols>
  <sheetData>
    <row r="1">
      <c r="A1" s="186" t="s">
        <v>198</v>
      </c>
      <c r="E1" s="14" t="s">
        <v>3</v>
      </c>
      <c r="F1" s="15"/>
    </row>
    <row r="2">
      <c r="A2" s="19"/>
      <c r="E2" s="5"/>
      <c r="F2" s="10"/>
    </row>
    <row r="3">
      <c r="A3" s="19"/>
      <c r="E3" s="123" t="s">
        <v>173</v>
      </c>
      <c r="F3" s="126">
        <f>F5+F34</f>
        <v>17641.6</v>
      </c>
    </row>
    <row r="4">
      <c r="A4" s="19"/>
      <c r="E4" s="127"/>
      <c r="F4" s="128"/>
    </row>
    <row r="5">
      <c r="A5" s="19"/>
      <c r="E5" s="130" t="s">
        <v>14</v>
      </c>
      <c r="F5" s="132">
        <f>SUM(C10:C29)</f>
        <v>13024</v>
      </c>
    </row>
    <row r="6">
      <c r="A6" s="19"/>
      <c r="E6" s="39"/>
      <c r="F6" s="10"/>
    </row>
    <row r="7">
      <c r="A7" s="40">
        <v>29.6</v>
      </c>
      <c r="B7" s="41">
        <v>22.0</v>
      </c>
      <c r="C7" s="43" t="s">
        <v>21</v>
      </c>
      <c r="D7" s="110" t="s">
        <v>117</v>
      </c>
      <c r="E7" s="5"/>
      <c r="F7" s="10"/>
    </row>
    <row r="8">
      <c r="A8" s="42" t="s">
        <v>199</v>
      </c>
      <c r="D8" s="45"/>
      <c r="E8" s="47" t="s">
        <v>24</v>
      </c>
      <c r="F8" s="48"/>
    </row>
    <row r="9">
      <c r="A9" s="49" t="s">
        <v>176</v>
      </c>
      <c r="B9" s="50" t="s">
        <v>26</v>
      </c>
      <c r="C9" s="50" t="s">
        <v>119</v>
      </c>
      <c r="D9" s="51"/>
      <c r="E9" s="54" t="s">
        <v>28</v>
      </c>
      <c r="F9" s="48"/>
    </row>
    <row r="10">
      <c r="A10" s="133" t="s">
        <v>33</v>
      </c>
      <c r="B10" s="134" t="s">
        <v>34</v>
      </c>
      <c r="C10" s="135">
        <f t="shared" ref="C10:C17" si="1">29.6*$B$7</f>
        <v>651.2</v>
      </c>
      <c r="D10" s="188" t="s">
        <v>178</v>
      </c>
      <c r="E10" s="137"/>
      <c r="F10" s="48"/>
    </row>
    <row r="11">
      <c r="A11" s="133" t="s">
        <v>35</v>
      </c>
      <c r="B11" s="134" t="s">
        <v>36</v>
      </c>
      <c r="C11" s="135">
        <f t="shared" si="1"/>
        <v>651.2</v>
      </c>
      <c r="D11" s="188" t="s">
        <v>178</v>
      </c>
      <c r="E11" s="149" t="s">
        <v>200</v>
      </c>
      <c r="F11" s="48"/>
    </row>
    <row r="12">
      <c r="A12" s="133" t="s">
        <v>43</v>
      </c>
      <c r="B12" s="134" t="s">
        <v>44</v>
      </c>
      <c r="C12" s="135">
        <f t="shared" si="1"/>
        <v>651.2</v>
      </c>
      <c r="D12" s="188" t="s">
        <v>178</v>
      </c>
      <c r="E12" s="137"/>
      <c r="F12" s="48"/>
    </row>
    <row r="13">
      <c r="A13" s="133" t="s">
        <v>55</v>
      </c>
      <c r="B13" s="134" t="s">
        <v>56</v>
      </c>
      <c r="C13" s="135">
        <f t="shared" si="1"/>
        <v>651.2</v>
      </c>
      <c r="D13" s="188" t="s">
        <v>178</v>
      </c>
      <c r="E13" s="137"/>
      <c r="F13" s="48"/>
    </row>
    <row r="14">
      <c r="A14" s="138" t="s">
        <v>139</v>
      </c>
      <c r="B14" s="189" t="s">
        <v>140</v>
      </c>
      <c r="C14" s="135">
        <f t="shared" si="1"/>
        <v>651.2</v>
      </c>
      <c r="D14" s="119" t="s">
        <v>178</v>
      </c>
      <c r="E14" s="149" t="s">
        <v>200</v>
      </c>
      <c r="F14" s="48"/>
    </row>
    <row r="15">
      <c r="A15" s="142" t="s">
        <v>147</v>
      </c>
      <c r="B15" s="143" t="s">
        <v>148</v>
      </c>
      <c r="C15" s="135">
        <f t="shared" si="1"/>
        <v>651.2</v>
      </c>
      <c r="D15" s="188" t="s">
        <v>178</v>
      </c>
      <c r="E15" s="137"/>
      <c r="F15" s="48"/>
    </row>
    <row r="16">
      <c r="A16" s="133" t="s">
        <v>61</v>
      </c>
      <c r="B16" s="134" t="s">
        <v>62</v>
      </c>
      <c r="C16" s="135">
        <f t="shared" si="1"/>
        <v>651.2</v>
      </c>
      <c r="D16" s="188" t="s">
        <v>178</v>
      </c>
      <c r="E16" s="137"/>
      <c r="F16" s="48"/>
    </row>
    <row r="17">
      <c r="A17" s="190" t="s">
        <v>164</v>
      </c>
      <c r="B17" s="191" t="s">
        <v>165</v>
      </c>
      <c r="C17" s="166">
        <f t="shared" si="1"/>
        <v>651.2</v>
      </c>
      <c r="D17" s="192" t="s">
        <v>178</v>
      </c>
      <c r="E17" s="137"/>
      <c r="F17" s="48"/>
    </row>
    <row r="18">
      <c r="A18" s="193" t="s">
        <v>114</v>
      </c>
      <c r="B18" s="194" t="s">
        <v>115</v>
      </c>
      <c r="C18" s="185">
        <v>651.2</v>
      </c>
      <c r="D18" s="195" t="s">
        <v>178</v>
      </c>
      <c r="E18" s="137"/>
      <c r="F18" s="48"/>
    </row>
    <row r="19">
      <c r="A19" s="193" t="s">
        <v>171</v>
      </c>
      <c r="B19" s="194" t="s">
        <v>169</v>
      </c>
      <c r="C19" s="174">
        <f t="shared" ref="C19:C29" si="2">29.6*$B$7</f>
        <v>651.2</v>
      </c>
      <c r="D19" s="195" t="s">
        <v>178</v>
      </c>
      <c r="E19" s="149"/>
      <c r="F19" s="48"/>
    </row>
    <row r="20">
      <c r="A20" s="193" t="s">
        <v>167</v>
      </c>
      <c r="B20" s="196" t="s">
        <v>201</v>
      </c>
      <c r="C20" s="174">
        <f t="shared" si="2"/>
        <v>651.2</v>
      </c>
      <c r="D20" s="197" t="s">
        <v>178</v>
      </c>
      <c r="E20" s="137"/>
      <c r="F20" s="48"/>
    </row>
    <row r="21">
      <c r="A21" s="193" t="s">
        <v>85</v>
      </c>
      <c r="B21" s="194" t="s">
        <v>86</v>
      </c>
      <c r="C21" s="174">
        <f t="shared" si="2"/>
        <v>651.2</v>
      </c>
      <c r="D21" s="197" t="s">
        <v>178</v>
      </c>
      <c r="E21" s="137"/>
      <c r="F21" s="48"/>
    </row>
    <row r="22">
      <c r="A22" s="193" t="s">
        <v>77</v>
      </c>
      <c r="B22" s="194" t="s">
        <v>78</v>
      </c>
      <c r="C22" s="174">
        <f t="shared" si="2"/>
        <v>651.2</v>
      </c>
      <c r="D22" s="197" t="s">
        <v>178</v>
      </c>
      <c r="E22" s="137"/>
      <c r="F22" s="48"/>
    </row>
    <row r="23">
      <c r="A23" s="198" t="s">
        <v>186</v>
      </c>
      <c r="B23" s="196" t="s">
        <v>202</v>
      </c>
      <c r="C23" s="174">
        <f t="shared" si="2"/>
        <v>651.2</v>
      </c>
      <c r="D23" s="197" t="s">
        <v>178</v>
      </c>
      <c r="E23" s="137"/>
      <c r="F23" s="48"/>
    </row>
    <row r="24">
      <c r="A24" s="193" t="s">
        <v>172</v>
      </c>
      <c r="B24" s="194" t="s">
        <v>169</v>
      </c>
      <c r="C24" s="174">
        <f t="shared" si="2"/>
        <v>651.2</v>
      </c>
      <c r="D24" s="195" t="s">
        <v>178</v>
      </c>
      <c r="E24" s="137"/>
      <c r="F24" s="48"/>
    </row>
    <row r="25">
      <c r="A25" s="119" t="s">
        <v>203</v>
      </c>
      <c r="B25" s="199" t="s">
        <v>204</v>
      </c>
      <c r="C25" s="200">
        <f t="shared" si="2"/>
        <v>651.2</v>
      </c>
      <c r="D25" s="195" t="s">
        <v>178</v>
      </c>
      <c r="E25" s="137"/>
      <c r="F25" s="48"/>
    </row>
    <row r="26">
      <c r="A26" s="201" t="s">
        <v>205</v>
      </c>
      <c r="B26" s="202" t="s">
        <v>206</v>
      </c>
      <c r="C26" s="200">
        <f t="shared" si="2"/>
        <v>651.2</v>
      </c>
      <c r="D26" s="195" t="s">
        <v>178</v>
      </c>
      <c r="E26" s="204"/>
      <c r="F26" s="48"/>
    </row>
    <row r="27">
      <c r="A27" s="201" t="s">
        <v>209</v>
      </c>
      <c r="B27" s="202" t="s">
        <v>211</v>
      </c>
      <c r="C27" s="200">
        <f t="shared" si="2"/>
        <v>651.2</v>
      </c>
      <c r="D27" s="195" t="s">
        <v>178</v>
      </c>
      <c r="E27" s="207"/>
      <c r="F27" s="91"/>
    </row>
    <row r="28">
      <c r="A28" s="208" t="s">
        <v>212</v>
      </c>
      <c r="B28" s="210" t="s">
        <v>213</v>
      </c>
      <c r="C28" s="200">
        <f t="shared" si="2"/>
        <v>651.2</v>
      </c>
      <c r="D28" s="195" t="s">
        <v>178</v>
      </c>
      <c r="E28" s="207"/>
      <c r="F28" s="91"/>
    </row>
    <row r="29">
      <c r="A29" s="208" t="s">
        <v>215</v>
      </c>
      <c r="B29" s="212" t="s">
        <v>216</v>
      </c>
      <c r="C29" s="200">
        <f t="shared" si="2"/>
        <v>651.2</v>
      </c>
      <c r="D29" s="195" t="s">
        <v>178</v>
      </c>
      <c r="E29" s="207"/>
      <c r="F29" s="91"/>
    </row>
    <row r="30">
      <c r="A30" s="215"/>
      <c r="B30" s="216"/>
      <c r="C30" s="217"/>
      <c r="D30" s="218"/>
      <c r="E30" s="220"/>
      <c r="F30" s="91"/>
      <c r="G30" s="170"/>
      <c r="H30" s="170"/>
      <c r="I30" s="170"/>
      <c r="J30" s="170"/>
      <c r="K30" s="170"/>
      <c r="L30" s="170"/>
      <c r="M30" s="170"/>
      <c r="N30" s="170"/>
      <c r="O30" s="170"/>
      <c r="P30" s="170"/>
      <c r="Q30" s="170"/>
      <c r="R30" s="170"/>
      <c r="S30" s="170"/>
      <c r="T30" s="170"/>
      <c r="U30" s="170"/>
      <c r="V30" s="170"/>
      <c r="W30" s="170"/>
      <c r="X30" s="170"/>
      <c r="Y30" s="170"/>
      <c r="Z30" s="170"/>
    </row>
    <row r="31">
      <c r="A31" s="222"/>
      <c r="B31" s="223"/>
      <c r="C31" s="224"/>
      <c r="D31" s="218"/>
      <c r="E31" s="226"/>
      <c r="F31" s="91"/>
      <c r="G31" s="170"/>
      <c r="H31" s="170"/>
      <c r="I31" s="170"/>
      <c r="J31" s="170"/>
      <c r="K31" s="170"/>
      <c r="L31" s="170"/>
      <c r="M31" s="170"/>
      <c r="N31" s="170"/>
      <c r="O31" s="170"/>
      <c r="P31" s="170"/>
      <c r="Q31" s="170"/>
      <c r="R31" s="170"/>
      <c r="S31" s="170"/>
      <c r="T31" s="170"/>
      <c r="U31" s="170"/>
      <c r="V31" s="170"/>
      <c r="W31" s="170"/>
      <c r="X31" s="170"/>
      <c r="Y31" s="170"/>
      <c r="Z31" s="170"/>
    </row>
    <row r="32">
      <c r="A32" s="222"/>
      <c r="B32" s="223"/>
      <c r="C32" s="224"/>
      <c r="D32" s="218"/>
      <c r="E32" s="231"/>
      <c r="F32" s="48"/>
      <c r="G32" s="170"/>
      <c r="H32" s="170"/>
      <c r="I32" s="170"/>
      <c r="J32" s="170"/>
      <c r="K32" s="170"/>
      <c r="L32" s="170"/>
      <c r="M32" s="170"/>
      <c r="N32" s="170"/>
      <c r="O32" s="170"/>
      <c r="P32" s="170"/>
      <c r="Q32" s="170"/>
      <c r="R32" s="170"/>
      <c r="S32" s="170"/>
      <c r="T32" s="170"/>
      <c r="U32" s="170"/>
      <c r="V32" s="170"/>
      <c r="W32" s="170"/>
      <c r="X32" s="170"/>
      <c r="Y32" s="170"/>
      <c r="Z32" s="170"/>
    </row>
    <row r="33">
      <c r="A33" s="233"/>
      <c r="B33" s="234"/>
      <c r="C33" s="234"/>
      <c r="D33" s="234"/>
      <c r="E33" s="234"/>
      <c r="F33" s="234"/>
      <c r="G33" s="234"/>
      <c r="H33" s="234"/>
      <c r="I33" s="234"/>
      <c r="J33" s="234"/>
      <c r="K33" s="234"/>
      <c r="L33" s="234"/>
      <c r="M33" s="234"/>
      <c r="N33" s="234"/>
      <c r="O33" s="234"/>
      <c r="P33" s="234"/>
      <c r="Q33" s="234"/>
      <c r="R33" s="234"/>
      <c r="S33" s="234"/>
      <c r="T33" s="234"/>
      <c r="U33" s="234"/>
      <c r="V33" s="234"/>
      <c r="W33" s="234"/>
      <c r="X33" s="234"/>
      <c r="Y33" s="234"/>
      <c r="Z33" s="48"/>
    </row>
    <row r="34">
      <c r="A34" s="237" t="s">
        <v>188</v>
      </c>
      <c r="D34" s="15"/>
      <c r="E34" s="238"/>
      <c r="F34" s="241">
        <f>SUM(C36:C43)</f>
        <v>4617.6</v>
      </c>
      <c r="G34" s="170"/>
      <c r="H34" s="170"/>
      <c r="I34" s="170"/>
      <c r="J34" s="170"/>
      <c r="K34" s="170"/>
      <c r="L34" s="170"/>
      <c r="M34" s="170"/>
      <c r="N34" s="170"/>
      <c r="O34" s="170"/>
      <c r="P34" s="170"/>
      <c r="Q34" s="170"/>
      <c r="R34" s="170"/>
      <c r="S34" s="170"/>
      <c r="T34" s="170"/>
      <c r="U34" s="170"/>
      <c r="V34" s="170"/>
      <c r="W34" s="170"/>
      <c r="X34" s="170"/>
      <c r="Y34" s="170"/>
      <c r="Z34" s="170"/>
    </row>
    <row r="35">
      <c r="A35" s="234"/>
      <c r="B35" s="234"/>
      <c r="C35" s="234"/>
      <c r="D35" s="48"/>
      <c r="E35" s="242"/>
      <c r="F35" s="242"/>
      <c r="G35" s="170"/>
      <c r="H35" s="170"/>
      <c r="I35" s="170"/>
      <c r="J35" s="170"/>
      <c r="K35" s="170"/>
      <c r="L35" s="170"/>
      <c r="M35" s="170"/>
      <c r="N35" s="170"/>
      <c r="O35" s="170"/>
      <c r="P35" s="170"/>
      <c r="Q35" s="170"/>
      <c r="R35" s="170"/>
      <c r="S35" s="170"/>
      <c r="T35" s="170"/>
      <c r="U35" s="170"/>
      <c r="V35" s="170"/>
      <c r="W35" s="170"/>
      <c r="X35" s="170"/>
      <c r="Y35" s="170"/>
      <c r="Z35" s="170"/>
    </row>
    <row r="36">
      <c r="A36" s="193" t="s">
        <v>47</v>
      </c>
      <c r="B36" s="194" t="s">
        <v>48</v>
      </c>
      <c r="C36" s="174">
        <f t="shared" ref="C36:C37" si="3">29.6*$B$7</f>
        <v>651.2</v>
      </c>
      <c r="D36" s="243" t="s">
        <v>178</v>
      </c>
      <c r="E36" s="244"/>
      <c r="F36" s="48"/>
      <c r="G36" s="170"/>
      <c r="H36" s="170"/>
      <c r="I36" s="170"/>
      <c r="J36" s="170"/>
      <c r="K36" s="170"/>
      <c r="L36" s="170"/>
      <c r="M36" s="170"/>
      <c r="N36" s="170"/>
      <c r="O36" s="170"/>
      <c r="P36" s="170"/>
      <c r="Q36" s="170"/>
      <c r="R36" s="170"/>
      <c r="S36" s="170"/>
      <c r="T36" s="170"/>
      <c r="U36" s="170"/>
      <c r="V36" s="170"/>
      <c r="W36" s="170"/>
      <c r="X36" s="170"/>
      <c r="Y36" s="170"/>
      <c r="Z36" s="170"/>
    </row>
    <row r="37">
      <c r="A37" s="172" t="s">
        <v>192</v>
      </c>
      <c r="B37" s="173" t="s">
        <v>193</v>
      </c>
      <c r="C37" s="174">
        <f t="shared" si="3"/>
        <v>651.2</v>
      </c>
      <c r="D37" s="245" t="s">
        <v>178</v>
      </c>
      <c r="E37" s="179"/>
      <c r="F37" s="48"/>
    </row>
    <row r="38">
      <c r="A38" s="172" t="s">
        <v>80</v>
      </c>
      <c r="B38" s="173" t="s">
        <v>81</v>
      </c>
      <c r="C38" s="185">
        <v>59.2</v>
      </c>
      <c r="D38" s="246" t="s">
        <v>178</v>
      </c>
      <c r="E38" s="182" t="s">
        <v>223</v>
      </c>
      <c r="F38" s="48"/>
    </row>
    <row r="39">
      <c r="A39" s="172" t="s">
        <v>59</v>
      </c>
      <c r="B39" s="173" t="s">
        <v>60</v>
      </c>
      <c r="C39" s="185">
        <v>651.2</v>
      </c>
      <c r="D39" s="246" t="s">
        <v>178</v>
      </c>
      <c r="E39" s="179"/>
      <c r="F39" s="48"/>
    </row>
    <row r="40">
      <c r="A40" s="172" t="s">
        <v>134</v>
      </c>
      <c r="B40" s="173" t="s">
        <v>135</v>
      </c>
      <c r="C40" s="185">
        <v>651.2</v>
      </c>
      <c r="D40" s="163" t="s">
        <v>178</v>
      </c>
      <c r="E40" s="248"/>
      <c r="F40" s="48"/>
    </row>
    <row r="41">
      <c r="A41" s="172" t="s">
        <v>195</v>
      </c>
      <c r="B41" s="173" t="s">
        <v>196</v>
      </c>
      <c r="C41" s="174">
        <f t="shared" ref="C41:C43" si="4">29.6*$B$7</f>
        <v>651.2</v>
      </c>
      <c r="D41" s="245" t="s">
        <v>178</v>
      </c>
      <c r="E41" s="179"/>
      <c r="F41" s="48"/>
    </row>
    <row r="42">
      <c r="A42" s="249" t="s">
        <v>229</v>
      </c>
      <c r="B42" s="251" t="s">
        <v>226</v>
      </c>
      <c r="C42" s="174">
        <f t="shared" si="4"/>
        <v>651.2</v>
      </c>
      <c r="D42" s="245" t="s">
        <v>178</v>
      </c>
      <c r="E42" s="253"/>
      <c r="F42" s="91"/>
    </row>
    <row r="43">
      <c r="A43" s="119" t="s">
        <v>230</v>
      </c>
      <c r="B43" s="199" t="s">
        <v>231</v>
      </c>
      <c r="C43" s="174">
        <f t="shared" si="4"/>
        <v>651.2</v>
      </c>
      <c r="D43" s="119" t="s">
        <v>178</v>
      </c>
      <c r="E43" s="253"/>
      <c r="F43" s="91"/>
    </row>
  </sheetData>
  <mergeCells count="38">
    <mergeCell ref="A1:D6"/>
    <mergeCell ref="E1:F1"/>
    <mergeCell ref="A8:C8"/>
    <mergeCell ref="E8:F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A33:Z33"/>
    <mergeCell ref="E41:F41"/>
    <mergeCell ref="E42:F42"/>
    <mergeCell ref="E43:F43"/>
    <mergeCell ref="E32:F32"/>
    <mergeCell ref="A34:D35"/>
    <mergeCell ref="E36:F36"/>
    <mergeCell ref="E37:F37"/>
    <mergeCell ref="E38:F38"/>
    <mergeCell ref="E39:F39"/>
    <mergeCell ref="E40:F40"/>
  </mergeCells>
  <printOptions gridLines="1" horizontalCentered="1"/>
  <pageMargins bottom="0.75" footer="0.0" header="0.0" left="0.25" right="0.25" top="0.75"/>
  <pageSetup paperSize="9" cellComments="atEnd" orientation="portrait" pageOrder="overThenDown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63"/>
    <col customWidth="1" min="4" max="4" width="8.75"/>
    <col customWidth="1" min="5" max="5" width="51.25"/>
    <col customWidth="1" min="6" max="6" width="7.75"/>
  </cols>
  <sheetData>
    <row r="1">
      <c r="A1" s="186" t="s">
        <v>198</v>
      </c>
      <c r="E1" s="14" t="s">
        <v>3</v>
      </c>
      <c r="F1" s="15"/>
    </row>
    <row r="2">
      <c r="A2" s="19"/>
      <c r="E2" s="5"/>
      <c r="F2" s="10"/>
    </row>
    <row r="3">
      <c r="A3" s="19"/>
      <c r="E3" s="123" t="s">
        <v>173</v>
      </c>
      <c r="F3" s="126">
        <f>F5+F34</f>
        <v>14237.6</v>
      </c>
    </row>
    <row r="4">
      <c r="A4" s="19"/>
      <c r="E4" s="127"/>
      <c r="F4" s="128"/>
    </row>
    <row r="5">
      <c r="A5" s="19"/>
      <c r="E5" s="130" t="s">
        <v>14</v>
      </c>
      <c r="F5" s="132">
        <f>SUM(C10:C29)</f>
        <v>9945.6</v>
      </c>
    </row>
    <row r="6">
      <c r="A6" s="19"/>
      <c r="E6" s="39"/>
      <c r="F6" s="10"/>
    </row>
    <row r="7">
      <c r="A7" s="40">
        <v>29.6</v>
      </c>
      <c r="B7" s="41">
        <v>21.0</v>
      </c>
      <c r="C7" s="43" t="s">
        <v>21</v>
      </c>
      <c r="D7" s="110" t="s">
        <v>117</v>
      </c>
      <c r="E7" s="5"/>
      <c r="F7" s="10"/>
    </row>
    <row r="8">
      <c r="A8" s="42" t="s">
        <v>199</v>
      </c>
      <c r="D8" s="45"/>
      <c r="E8" s="47" t="s">
        <v>24</v>
      </c>
      <c r="F8" s="48"/>
    </row>
    <row r="9">
      <c r="A9" s="49" t="s">
        <v>176</v>
      </c>
      <c r="B9" s="50" t="s">
        <v>26</v>
      </c>
      <c r="C9" s="50" t="s">
        <v>119</v>
      </c>
      <c r="D9" s="51"/>
      <c r="E9" s="54" t="s">
        <v>28</v>
      </c>
      <c r="F9" s="48"/>
    </row>
    <row r="10">
      <c r="A10" s="133" t="s">
        <v>33</v>
      </c>
      <c r="B10" s="134" t="s">
        <v>34</v>
      </c>
      <c r="C10" s="135">
        <f>29.6*$B$7</f>
        <v>621.6</v>
      </c>
      <c r="D10" s="188" t="s">
        <v>178</v>
      </c>
      <c r="E10" s="137"/>
      <c r="F10" s="48"/>
    </row>
    <row r="11">
      <c r="A11" s="133" t="s">
        <v>35</v>
      </c>
      <c r="B11" s="134" t="s">
        <v>36</v>
      </c>
      <c r="C11" s="135" t="s">
        <v>207</v>
      </c>
      <c r="D11" s="188" t="s">
        <v>178</v>
      </c>
      <c r="E11" s="205" t="s">
        <v>208</v>
      </c>
      <c r="F11" s="48"/>
    </row>
    <row r="12">
      <c r="A12" s="133" t="s">
        <v>43</v>
      </c>
      <c r="B12" s="134" t="s">
        <v>44</v>
      </c>
      <c r="C12" s="135">
        <f t="shared" ref="C12:C13" si="1">29.6*$B$7</f>
        <v>621.6</v>
      </c>
      <c r="D12" s="188" t="s">
        <v>178</v>
      </c>
      <c r="E12" s="137"/>
      <c r="F12" s="48"/>
    </row>
    <row r="13">
      <c r="A13" s="133" t="s">
        <v>55</v>
      </c>
      <c r="B13" s="134" t="s">
        <v>56</v>
      </c>
      <c r="C13" s="135">
        <f t="shared" si="1"/>
        <v>621.6</v>
      </c>
      <c r="D13" s="188" t="s">
        <v>178</v>
      </c>
      <c r="E13" s="137"/>
      <c r="F13" s="48"/>
    </row>
    <row r="14">
      <c r="A14" s="138" t="s">
        <v>139</v>
      </c>
      <c r="B14" s="189" t="s">
        <v>140</v>
      </c>
      <c r="C14" s="135" t="s">
        <v>207</v>
      </c>
      <c r="D14" s="119" t="s">
        <v>178</v>
      </c>
      <c r="E14" s="205" t="s">
        <v>208</v>
      </c>
      <c r="F14" s="48"/>
    </row>
    <row r="15">
      <c r="A15" s="142" t="s">
        <v>147</v>
      </c>
      <c r="B15" s="143" t="s">
        <v>148</v>
      </c>
      <c r="C15" s="135">
        <f t="shared" ref="C15:C20" si="2">29.6*$B$7</f>
        <v>621.6</v>
      </c>
      <c r="D15" s="188" t="s">
        <v>178</v>
      </c>
      <c r="E15" s="137"/>
      <c r="F15" s="48"/>
    </row>
    <row r="16">
      <c r="A16" s="133" t="s">
        <v>61</v>
      </c>
      <c r="B16" s="134" t="s">
        <v>62</v>
      </c>
      <c r="C16" s="135">
        <f t="shared" si="2"/>
        <v>621.6</v>
      </c>
      <c r="D16" s="188" t="s">
        <v>178</v>
      </c>
      <c r="E16" s="137"/>
      <c r="F16" s="48"/>
    </row>
    <row r="17">
      <c r="A17" s="190" t="s">
        <v>164</v>
      </c>
      <c r="B17" s="191" t="s">
        <v>165</v>
      </c>
      <c r="C17" s="166">
        <f t="shared" si="2"/>
        <v>621.6</v>
      </c>
      <c r="D17" s="192" t="s">
        <v>178</v>
      </c>
      <c r="E17" s="137"/>
      <c r="F17" s="48"/>
    </row>
    <row r="18">
      <c r="A18" s="193" t="s">
        <v>114</v>
      </c>
      <c r="B18" s="194" t="s">
        <v>115</v>
      </c>
      <c r="C18" s="166">
        <f t="shared" si="2"/>
        <v>621.6</v>
      </c>
      <c r="D18" s="195" t="s">
        <v>178</v>
      </c>
      <c r="E18" s="137"/>
      <c r="F18" s="48"/>
    </row>
    <row r="19">
      <c r="A19" s="193" t="s">
        <v>171</v>
      </c>
      <c r="B19" s="194" t="s">
        <v>169</v>
      </c>
      <c r="C19" s="174">
        <f t="shared" si="2"/>
        <v>621.6</v>
      </c>
      <c r="D19" s="195" t="s">
        <v>178</v>
      </c>
      <c r="E19" s="149"/>
      <c r="F19" s="48"/>
    </row>
    <row r="20">
      <c r="A20" s="193" t="s">
        <v>167</v>
      </c>
      <c r="B20" s="196" t="s">
        <v>201</v>
      </c>
      <c r="C20" s="174">
        <f t="shared" si="2"/>
        <v>621.6</v>
      </c>
      <c r="D20" s="197" t="s">
        <v>178</v>
      </c>
      <c r="E20" s="137"/>
      <c r="F20" s="48"/>
    </row>
    <row r="21">
      <c r="A21" s="193" t="s">
        <v>85</v>
      </c>
      <c r="B21" s="194" t="s">
        <v>86</v>
      </c>
      <c r="C21" s="185" t="s">
        <v>207</v>
      </c>
      <c r="D21" s="197" t="s">
        <v>178</v>
      </c>
      <c r="E21" s="205" t="s">
        <v>218</v>
      </c>
      <c r="F21" s="48"/>
    </row>
    <row r="22">
      <c r="A22" s="193" t="s">
        <v>77</v>
      </c>
      <c r="B22" s="194" t="s">
        <v>78</v>
      </c>
      <c r="C22" s="174">
        <f t="shared" ref="C22:C25" si="3">29.6*$B$7</f>
        <v>621.6</v>
      </c>
      <c r="D22" s="197" t="s">
        <v>178</v>
      </c>
      <c r="E22" s="137"/>
      <c r="F22" s="48"/>
    </row>
    <row r="23">
      <c r="A23" s="198" t="s">
        <v>186</v>
      </c>
      <c r="B23" s="196" t="s">
        <v>202</v>
      </c>
      <c r="C23" s="174">
        <f t="shared" si="3"/>
        <v>621.6</v>
      </c>
      <c r="D23" s="197" t="s">
        <v>178</v>
      </c>
      <c r="E23" s="137"/>
      <c r="F23" s="48"/>
    </row>
    <row r="24">
      <c r="A24" s="193" t="s">
        <v>172</v>
      </c>
      <c r="B24" s="194" t="s">
        <v>169</v>
      </c>
      <c r="C24" s="174">
        <f t="shared" si="3"/>
        <v>621.6</v>
      </c>
      <c r="D24" s="195" t="s">
        <v>178</v>
      </c>
      <c r="E24" s="137"/>
      <c r="F24" s="48"/>
    </row>
    <row r="25">
      <c r="A25" s="119" t="s">
        <v>203</v>
      </c>
      <c r="B25" s="199" t="s">
        <v>204</v>
      </c>
      <c r="C25" s="200">
        <f t="shared" si="3"/>
        <v>621.6</v>
      </c>
      <c r="D25" s="195" t="s">
        <v>178</v>
      </c>
      <c r="E25" s="137"/>
      <c r="F25" s="48"/>
    </row>
    <row r="26">
      <c r="A26" s="201" t="s">
        <v>205</v>
      </c>
      <c r="B26" s="202" t="s">
        <v>206</v>
      </c>
      <c r="C26" s="236" t="s">
        <v>207</v>
      </c>
      <c r="D26" s="195" t="s">
        <v>178</v>
      </c>
      <c r="E26" s="205" t="s">
        <v>221</v>
      </c>
      <c r="F26" s="48"/>
    </row>
    <row r="27">
      <c r="A27" s="201" t="s">
        <v>209</v>
      </c>
      <c r="B27" s="202" t="s">
        <v>211</v>
      </c>
      <c r="C27" s="200">
        <f t="shared" ref="C27:C29" si="4">29.6*$B$7</f>
        <v>621.6</v>
      </c>
      <c r="D27" s="195" t="s">
        <v>178</v>
      </c>
      <c r="E27" s="207"/>
      <c r="F27" s="91"/>
    </row>
    <row r="28">
      <c r="A28" s="208" t="s">
        <v>212</v>
      </c>
      <c r="B28" s="210" t="s">
        <v>213</v>
      </c>
      <c r="C28" s="200">
        <f t="shared" si="4"/>
        <v>621.6</v>
      </c>
      <c r="D28" s="195" t="s">
        <v>178</v>
      </c>
      <c r="E28" s="207"/>
      <c r="F28" s="91"/>
    </row>
    <row r="29">
      <c r="A29" s="208" t="s">
        <v>215</v>
      </c>
      <c r="B29" s="212" t="s">
        <v>216</v>
      </c>
      <c r="C29" s="200">
        <f t="shared" si="4"/>
        <v>621.6</v>
      </c>
      <c r="D29" s="195" t="s">
        <v>178</v>
      </c>
      <c r="E29" s="207"/>
      <c r="F29" s="91"/>
    </row>
    <row r="30">
      <c r="A30" s="215"/>
      <c r="B30" s="216"/>
      <c r="C30" s="217"/>
      <c r="D30" s="218"/>
      <c r="E30" s="220"/>
      <c r="F30" s="91"/>
      <c r="G30" s="170"/>
      <c r="H30" s="170"/>
      <c r="I30" s="170"/>
      <c r="J30" s="170"/>
      <c r="K30" s="170"/>
      <c r="L30" s="170"/>
      <c r="M30" s="170"/>
      <c r="N30" s="170"/>
      <c r="O30" s="170"/>
      <c r="P30" s="170"/>
      <c r="Q30" s="170"/>
      <c r="R30" s="170"/>
      <c r="S30" s="170"/>
      <c r="T30" s="170"/>
      <c r="U30" s="170"/>
      <c r="V30" s="170"/>
      <c r="W30" s="170"/>
      <c r="X30" s="170"/>
      <c r="Y30" s="170"/>
      <c r="Z30" s="170"/>
    </row>
    <row r="31">
      <c r="A31" s="222"/>
      <c r="B31" s="223"/>
      <c r="C31" s="224"/>
      <c r="D31" s="218"/>
      <c r="E31" s="226"/>
      <c r="F31" s="91"/>
      <c r="G31" s="170"/>
      <c r="H31" s="170"/>
      <c r="I31" s="170"/>
      <c r="J31" s="170"/>
      <c r="K31" s="170"/>
      <c r="L31" s="170"/>
      <c r="M31" s="170"/>
      <c r="N31" s="170"/>
      <c r="O31" s="170"/>
      <c r="P31" s="170"/>
      <c r="Q31" s="170"/>
      <c r="R31" s="170"/>
      <c r="S31" s="170"/>
      <c r="T31" s="170"/>
      <c r="U31" s="170"/>
      <c r="V31" s="170"/>
      <c r="W31" s="170"/>
      <c r="X31" s="170"/>
      <c r="Y31" s="170"/>
      <c r="Z31" s="170"/>
    </row>
    <row r="32">
      <c r="A32" s="222"/>
      <c r="B32" s="223"/>
      <c r="C32" s="224"/>
      <c r="D32" s="218"/>
      <c r="E32" s="231"/>
      <c r="F32" s="48"/>
      <c r="G32" s="170"/>
      <c r="H32" s="170"/>
      <c r="I32" s="170"/>
      <c r="J32" s="170"/>
      <c r="K32" s="170"/>
      <c r="L32" s="170"/>
      <c r="M32" s="170"/>
      <c r="N32" s="170"/>
      <c r="O32" s="170"/>
      <c r="P32" s="170"/>
      <c r="Q32" s="170"/>
      <c r="R32" s="170"/>
      <c r="S32" s="170"/>
      <c r="T32" s="170"/>
      <c r="U32" s="170"/>
      <c r="V32" s="170"/>
      <c r="W32" s="170"/>
      <c r="X32" s="170"/>
      <c r="Y32" s="170"/>
      <c r="Z32" s="170"/>
    </row>
    <row r="33">
      <c r="A33" s="233"/>
      <c r="B33" s="234"/>
      <c r="C33" s="234"/>
      <c r="D33" s="234"/>
      <c r="E33" s="234"/>
      <c r="F33" s="234"/>
      <c r="G33" s="234"/>
      <c r="H33" s="234"/>
      <c r="I33" s="234"/>
      <c r="J33" s="234"/>
      <c r="K33" s="234"/>
      <c r="L33" s="234"/>
      <c r="M33" s="234"/>
      <c r="N33" s="234"/>
      <c r="O33" s="234"/>
      <c r="P33" s="234"/>
      <c r="Q33" s="234"/>
      <c r="R33" s="234"/>
      <c r="S33" s="234"/>
      <c r="T33" s="234"/>
      <c r="U33" s="234"/>
      <c r="V33" s="234"/>
      <c r="W33" s="234"/>
      <c r="X33" s="234"/>
      <c r="Y33" s="234"/>
      <c r="Z33" s="48"/>
    </row>
    <row r="34">
      <c r="A34" s="237" t="s">
        <v>188</v>
      </c>
      <c r="D34" s="15"/>
      <c r="E34" s="238"/>
      <c r="F34" s="241">
        <f>SUM(C36:C43)</f>
        <v>4292</v>
      </c>
      <c r="G34" s="170"/>
      <c r="H34" s="170"/>
      <c r="I34" s="170"/>
      <c r="J34" s="170"/>
      <c r="K34" s="170"/>
      <c r="L34" s="170"/>
      <c r="M34" s="170"/>
      <c r="N34" s="170"/>
      <c r="O34" s="170"/>
      <c r="P34" s="170"/>
      <c r="Q34" s="170"/>
      <c r="R34" s="170"/>
      <c r="S34" s="170"/>
      <c r="T34" s="170"/>
      <c r="U34" s="170"/>
      <c r="V34" s="170"/>
      <c r="W34" s="170"/>
      <c r="X34" s="170"/>
      <c r="Y34" s="170"/>
      <c r="Z34" s="170"/>
    </row>
    <row r="35">
      <c r="A35" s="234"/>
      <c r="B35" s="234"/>
      <c r="C35" s="234"/>
      <c r="D35" s="48"/>
      <c r="E35" s="242"/>
      <c r="F35" s="242"/>
      <c r="G35" s="170"/>
      <c r="H35" s="170"/>
      <c r="I35" s="170"/>
      <c r="J35" s="170"/>
      <c r="K35" s="170"/>
      <c r="L35" s="170"/>
      <c r="M35" s="170"/>
      <c r="N35" s="170"/>
      <c r="O35" s="170"/>
      <c r="P35" s="170"/>
      <c r="Q35" s="170"/>
      <c r="R35" s="170"/>
      <c r="S35" s="170"/>
      <c r="T35" s="170"/>
      <c r="U35" s="170"/>
      <c r="V35" s="170"/>
      <c r="W35" s="170"/>
      <c r="X35" s="170"/>
      <c r="Y35" s="170"/>
      <c r="Z35" s="170"/>
    </row>
    <row r="36">
      <c r="A36" s="249" t="s">
        <v>225</v>
      </c>
      <c r="B36" s="251" t="s">
        <v>226</v>
      </c>
      <c r="C36" s="174">
        <f t="shared" ref="C36:C37" si="5">29.6*$B$7</f>
        <v>621.6</v>
      </c>
      <c r="D36" s="245" t="s">
        <v>178</v>
      </c>
      <c r="E36" s="244"/>
      <c r="F36" s="48"/>
      <c r="G36" s="170"/>
      <c r="H36" s="170"/>
      <c r="I36" s="170"/>
      <c r="J36" s="170"/>
      <c r="K36" s="170"/>
      <c r="L36" s="170"/>
      <c r="M36" s="170"/>
      <c r="N36" s="170"/>
      <c r="O36" s="170"/>
      <c r="P36" s="170"/>
      <c r="Q36" s="170"/>
      <c r="R36" s="170"/>
      <c r="S36" s="170"/>
      <c r="T36" s="170"/>
      <c r="U36" s="170"/>
      <c r="V36" s="170"/>
      <c r="W36" s="170"/>
      <c r="X36" s="170"/>
      <c r="Y36" s="170"/>
      <c r="Z36" s="170"/>
    </row>
    <row r="37">
      <c r="A37" s="172" t="s">
        <v>192</v>
      </c>
      <c r="B37" s="173" t="s">
        <v>193</v>
      </c>
      <c r="C37" s="174">
        <f t="shared" si="5"/>
        <v>621.6</v>
      </c>
      <c r="D37" s="245" t="s">
        <v>178</v>
      </c>
      <c r="E37" s="179"/>
      <c r="F37" s="48"/>
    </row>
    <row r="38">
      <c r="A38" s="172" t="s">
        <v>80</v>
      </c>
      <c r="B38" s="173" t="s">
        <v>81</v>
      </c>
      <c r="C38" s="185">
        <v>562.4</v>
      </c>
      <c r="D38" s="246" t="s">
        <v>178</v>
      </c>
      <c r="E38" s="254" t="s">
        <v>233</v>
      </c>
      <c r="F38" s="48"/>
    </row>
    <row r="39">
      <c r="A39" s="172" t="s">
        <v>59</v>
      </c>
      <c r="B39" s="173" t="s">
        <v>60</v>
      </c>
      <c r="C39" s="174">
        <f t="shared" ref="C39:C42" si="6">29.6*$B$7</f>
        <v>621.6</v>
      </c>
      <c r="D39" s="246" t="s">
        <v>178</v>
      </c>
      <c r="E39" s="179"/>
      <c r="F39" s="48"/>
    </row>
    <row r="40">
      <c r="A40" s="163" t="s">
        <v>230</v>
      </c>
      <c r="B40" s="255" t="s">
        <v>231</v>
      </c>
      <c r="C40" s="174">
        <f t="shared" si="6"/>
        <v>621.6</v>
      </c>
      <c r="D40" s="163" t="s">
        <v>178</v>
      </c>
      <c r="E40" s="248"/>
      <c r="F40" s="48"/>
    </row>
    <row r="41">
      <c r="A41" s="172" t="s">
        <v>134</v>
      </c>
      <c r="B41" s="173" t="s">
        <v>236</v>
      </c>
      <c r="C41" s="174">
        <f t="shared" si="6"/>
        <v>621.6</v>
      </c>
      <c r="D41" s="163" t="s">
        <v>178</v>
      </c>
      <c r="E41" s="179"/>
      <c r="F41" s="48"/>
    </row>
    <row r="42">
      <c r="A42" s="172" t="s">
        <v>195</v>
      </c>
      <c r="B42" s="173" t="s">
        <v>237</v>
      </c>
      <c r="C42" s="174">
        <f t="shared" si="6"/>
        <v>621.6</v>
      </c>
      <c r="D42" s="245" t="s">
        <v>178</v>
      </c>
      <c r="E42" s="253"/>
      <c r="F42" s="91"/>
    </row>
    <row r="43">
      <c r="A43" s="119"/>
      <c r="B43" s="199"/>
      <c r="C43" s="174"/>
      <c r="D43" s="119"/>
      <c r="E43" s="253"/>
      <c r="F43" s="91"/>
    </row>
  </sheetData>
  <mergeCells count="38">
    <mergeCell ref="A1:D6"/>
    <mergeCell ref="E1:F1"/>
    <mergeCell ref="A8:C8"/>
    <mergeCell ref="E8:F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A33:Z33"/>
    <mergeCell ref="E41:F41"/>
    <mergeCell ref="E42:F42"/>
    <mergeCell ref="E43:F43"/>
    <mergeCell ref="E32:F32"/>
    <mergeCell ref="A34:D35"/>
    <mergeCell ref="E36:F36"/>
    <mergeCell ref="E37:F37"/>
    <mergeCell ref="E38:F38"/>
    <mergeCell ref="E39:F39"/>
    <mergeCell ref="E40:F40"/>
  </mergeCells>
  <printOptions gridLines="1" horizontalCentered="1"/>
  <pageMargins bottom="0.75" footer="0.0" header="0.0" left="0.25" right="0.25" top="0.75"/>
  <pageSetup paperSize="9" cellComments="atEnd" orientation="portrait" pageOrder="overThenDown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27.63"/>
    <col customWidth="1" min="2" max="2" width="14.25"/>
    <col customWidth="1" min="3" max="3" width="10.63"/>
    <col customWidth="1" min="4" max="4" width="12.13"/>
    <col customWidth="1" min="5" max="5" width="51.25"/>
    <col customWidth="1" min="6" max="6" width="4.5"/>
  </cols>
  <sheetData>
    <row r="1" ht="41.25" customHeight="1">
      <c r="A1" s="203" t="s">
        <v>3</v>
      </c>
      <c r="D1" s="15"/>
    </row>
    <row r="2" ht="30.75" customHeight="1">
      <c r="A2" s="206" t="s">
        <v>210</v>
      </c>
      <c r="B2" s="209">
        <f>C31</f>
        <v>12520.8</v>
      </c>
      <c r="C2" s="211"/>
      <c r="D2" s="91"/>
    </row>
    <row r="3" ht="30.0" customHeight="1">
      <c r="A3" s="206" t="s">
        <v>214</v>
      </c>
      <c r="B3" s="213">
        <f>C46</f>
        <v>4765.6</v>
      </c>
      <c r="C3" s="211"/>
      <c r="D3" s="91"/>
    </row>
    <row r="4" ht="33.75" customHeight="1">
      <c r="A4" s="214" t="s">
        <v>217</v>
      </c>
      <c r="B4" s="219">
        <f>B2+B3</f>
        <v>17286.4</v>
      </c>
      <c r="C4" s="211"/>
      <c r="D4" s="91"/>
    </row>
    <row r="5">
      <c r="A5" s="186"/>
      <c r="B5" s="221"/>
      <c r="C5" s="221"/>
      <c r="D5" s="221"/>
      <c r="E5" s="39"/>
      <c r="F5" s="5"/>
    </row>
    <row r="6">
      <c r="A6" s="186"/>
      <c r="B6" s="221"/>
      <c r="C6" s="221"/>
      <c r="D6" s="221"/>
      <c r="E6" s="39"/>
      <c r="F6" s="5"/>
    </row>
    <row r="7">
      <c r="A7" s="225" t="s">
        <v>198</v>
      </c>
      <c r="B7" s="211"/>
      <c r="C7" s="211"/>
      <c r="D7" s="211"/>
      <c r="E7" s="211"/>
      <c r="F7" s="91"/>
    </row>
    <row r="8" ht="24.0" customHeight="1">
      <c r="A8" s="227">
        <v>29.6</v>
      </c>
      <c r="B8" s="228">
        <v>23.0</v>
      </c>
      <c r="C8" s="229" t="s">
        <v>21</v>
      </c>
      <c r="D8" s="230" t="s">
        <v>117</v>
      </c>
      <c r="E8" s="5"/>
      <c r="F8" s="5"/>
    </row>
    <row r="9" ht="31.5" customHeight="1">
      <c r="A9" s="232" t="s">
        <v>219</v>
      </c>
      <c r="B9" s="211"/>
      <c r="C9" s="211"/>
      <c r="D9" s="91"/>
      <c r="E9" s="47" t="s">
        <v>24</v>
      </c>
      <c r="F9" s="48"/>
    </row>
    <row r="10" ht="24.75" customHeight="1">
      <c r="A10" s="49" t="s">
        <v>176</v>
      </c>
      <c r="B10" s="50" t="s">
        <v>26</v>
      </c>
      <c r="C10" s="50" t="s">
        <v>119</v>
      </c>
      <c r="D10" s="235" t="s">
        <v>220</v>
      </c>
      <c r="E10" s="54" t="s">
        <v>28</v>
      </c>
      <c r="F10" s="48"/>
    </row>
    <row r="11">
      <c r="A11" s="133" t="s">
        <v>33</v>
      </c>
      <c r="B11" s="134" t="s">
        <v>34</v>
      </c>
      <c r="C11" s="135">
        <f>29.6*9</f>
        <v>266.4</v>
      </c>
      <c r="D11" s="239" t="s">
        <v>178</v>
      </c>
      <c r="E11" s="240" t="s">
        <v>222</v>
      </c>
      <c r="F11" s="48"/>
    </row>
    <row r="12">
      <c r="A12" s="133" t="s">
        <v>35</v>
      </c>
      <c r="B12" s="134" t="s">
        <v>36</v>
      </c>
      <c r="C12" s="135">
        <f t="shared" ref="C12:C29" si="1">29.6*$B$8</f>
        <v>680.8</v>
      </c>
      <c r="D12" s="239" t="s">
        <v>178</v>
      </c>
      <c r="E12" s="205"/>
      <c r="F12" s="48"/>
    </row>
    <row r="13">
      <c r="A13" s="133" t="s">
        <v>43</v>
      </c>
      <c r="B13" s="134" t="s">
        <v>44</v>
      </c>
      <c r="C13" s="135">
        <f t="shared" si="1"/>
        <v>680.8</v>
      </c>
      <c r="D13" s="239" t="s">
        <v>178</v>
      </c>
      <c r="E13" s="137"/>
      <c r="F13" s="48"/>
    </row>
    <row r="14">
      <c r="A14" s="133" t="s">
        <v>55</v>
      </c>
      <c r="B14" s="134" t="s">
        <v>56</v>
      </c>
      <c r="C14" s="135">
        <f t="shared" si="1"/>
        <v>680.8</v>
      </c>
      <c r="D14" s="239" t="s">
        <v>178</v>
      </c>
      <c r="E14" s="137"/>
      <c r="F14" s="48"/>
    </row>
    <row r="15">
      <c r="A15" s="138" t="s">
        <v>139</v>
      </c>
      <c r="B15" s="189" t="s">
        <v>140</v>
      </c>
      <c r="C15" s="135">
        <f t="shared" si="1"/>
        <v>680.8</v>
      </c>
      <c r="D15" s="199" t="s">
        <v>178</v>
      </c>
      <c r="E15" s="205"/>
      <c r="F15" s="48"/>
    </row>
    <row r="16">
      <c r="A16" s="142" t="s">
        <v>147</v>
      </c>
      <c r="B16" s="143" t="s">
        <v>148</v>
      </c>
      <c r="C16" s="135">
        <f t="shared" si="1"/>
        <v>680.8</v>
      </c>
      <c r="D16" s="239" t="s">
        <v>178</v>
      </c>
      <c r="E16" s="137"/>
      <c r="F16" s="48"/>
    </row>
    <row r="17">
      <c r="A17" s="133" t="s">
        <v>61</v>
      </c>
      <c r="B17" s="134" t="s">
        <v>62</v>
      </c>
      <c r="C17" s="135">
        <f t="shared" si="1"/>
        <v>680.8</v>
      </c>
      <c r="D17" s="239" t="s">
        <v>178</v>
      </c>
      <c r="E17" s="137"/>
      <c r="F17" s="48"/>
    </row>
    <row r="18">
      <c r="A18" s="190" t="s">
        <v>164</v>
      </c>
      <c r="B18" s="191" t="s">
        <v>165</v>
      </c>
      <c r="C18" s="166">
        <f t="shared" si="1"/>
        <v>680.8</v>
      </c>
      <c r="D18" s="247" t="s">
        <v>178</v>
      </c>
      <c r="E18" s="137"/>
      <c r="F18" s="48"/>
    </row>
    <row r="19">
      <c r="A19" s="193" t="s">
        <v>114</v>
      </c>
      <c r="B19" s="194" t="s">
        <v>115</v>
      </c>
      <c r="C19" s="166">
        <f t="shared" si="1"/>
        <v>680.8</v>
      </c>
      <c r="D19" s="194" t="s">
        <v>178</v>
      </c>
      <c r="E19" s="137"/>
      <c r="F19" s="48"/>
    </row>
    <row r="20">
      <c r="A20" s="193" t="s">
        <v>171</v>
      </c>
      <c r="B20" s="196" t="s">
        <v>224</v>
      </c>
      <c r="C20" s="174">
        <f t="shared" si="1"/>
        <v>680.8</v>
      </c>
      <c r="D20" s="194" t="s">
        <v>178</v>
      </c>
      <c r="E20" s="149"/>
      <c r="F20" s="48"/>
    </row>
    <row r="21">
      <c r="A21" s="193" t="s">
        <v>167</v>
      </c>
      <c r="B21" s="196" t="s">
        <v>201</v>
      </c>
      <c r="C21" s="174">
        <f t="shared" si="1"/>
        <v>680.8</v>
      </c>
      <c r="D21" s="250" t="s">
        <v>178</v>
      </c>
      <c r="E21" s="137"/>
      <c r="F21" s="48"/>
    </row>
    <row r="22">
      <c r="A22" s="252" t="s">
        <v>227</v>
      </c>
      <c r="B22" s="196" t="s">
        <v>228</v>
      </c>
      <c r="C22" s="174">
        <f t="shared" si="1"/>
        <v>680.8</v>
      </c>
      <c r="D22" s="250" t="s">
        <v>178</v>
      </c>
      <c r="E22" s="205"/>
      <c r="F22" s="48"/>
    </row>
    <row r="23">
      <c r="A23" s="193" t="s">
        <v>77</v>
      </c>
      <c r="B23" s="194" t="s">
        <v>78</v>
      </c>
      <c r="C23" s="174">
        <f t="shared" si="1"/>
        <v>680.8</v>
      </c>
      <c r="D23" s="250" t="s">
        <v>178</v>
      </c>
      <c r="E23" s="137"/>
      <c r="F23" s="48"/>
    </row>
    <row r="24">
      <c r="A24" s="198" t="s">
        <v>186</v>
      </c>
      <c r="B24" s="196" t="s">
        <v>202</v>
      </c>
      <c r="C24" s="174">
        <f t="shared" si="1"/>
        <v>680.8</v>
      </c>
      <c r="D24" s="250" t="s">
        <v>178</v>
      </c>
      <c r="E24" s="137"/>
      <c r="F24" s="48"/>
    </row>
    <row r="25">
      <c r="A25" s="193" t="s">
        <v>172</v>
      </c>
      <c r="B25" s="196" t="s">
        <v>232</v>
      </c>
      <c r="C25" s="174">
        <f t="shared" si="1"/>
        <v>680.8</v>
      </c>
      <c r="D25" s="194" t="s">
        <v>178</v>
      </c>
      <c r="E25" s="137"/>
      <c r="F25" s="48"/>
    </row>
    <row r="26">
      <c r="A26" s="119" t="s">
        <v>203</v>
      </c>
      <c r="B26" s="199" t="s">
        <v>204</v>
      </c>
      <c r="C26" s="200">
        <f t="shared" si="1"/>
        <v>680.8</v>
      </c>
      <c r="D26" s="194" t="s">
        <v>178</v>
      </c>
      <c r="E26" s="137"/>
      <c r="F26" s="48"/>
    </row>
    <row r="27">
      <c r="A27" s="252" t="s">
        <v>234</v>
      </c>
      <c r="B27" s="202" t="s">
        <v>235</v>
      </c>
      <c r="C27" s="200">
        <f t="shared" si="1"/>
        <v>680.8</v>
      </c>
      <c r="D27" s="194" t="s">
        <v>178</v>
      </c>
      <c r="E27" s="205"/>
      <c r="F27" s="48"/>
    </row>
    <row r="28">
      <c r="A28" s="201" t="s">
        <v>209</v>
      </c>
      <c r="B28" s="202" t="s">
        <v>211</v>
      </c>
      <c r="C28" s="200">
        <f t="shared" si="1"/>
        <v>680.8</v>
      </c>
      <c r="D28" s="194" t="s">
        <v>178</v>
      </c>
      <c r="E28" s="207"/>
      <c r="F28" s="91"/>
    </row>
    <row r="29">
      <c r="A29" s="208" t="s">
        <v>212</v>
      </c>
      <c r="B29" s="210" t="s">
        <v>213</v>
      </c>
      <c r="C29" s="200">
        <f t="shared" si="1"/>
        <v>680.8</v>
      </c>
      <c r="D29" s="194" t="s">
        <v>178</v>
      </c>
      <c r="E29" s="207"/>
      <c r="F29" s="91"/>
    </row>
    <row r="30">
      <c r="A30" s="208"/>
      <c r="B30" s="212"/>
      <c r="C30" s="200"/>
      <c r="D30" s="194"/>
      <c r="E30" s="207"/>
      <c r="F30" s="91"/>
    </row>
    <row r="31">
      <c r="A31" s="256" t="s">
        <v>210</v>
      </c>
      <c r="B31" s="91"/>
      <c r="C31" s="257">
        <f>SUM(C11:C30)</f>
        <v>12520.8</v>
      </c>
      <c r="D31" s="218"/>
      <c r="E31" s="258"/>
      <c r="F31" s="91"/>
      <c r="G31" s="170"/>
      <c r="H31" s="170"/>
      <c r="I31" s="170"/>
      <c r="J31" s="170"/>
      <c r="K31" s="170"/>
      <c r="L31" s="170"/>
      <c r="M31" s="170"/>
      <c r="N31" s="170"/>
      <c r="O31" s="170"/>
      <c r="P31" s="170"/>
      <c r="Q31" s="170"/>
      <c r="R31" s="170"/>
      <c r="S31" s="170"/>
      <c r="T31" s="170"/>
      <c r="U31" s="170"/>
      <c r="V31" s="170"/>
      <c r="W31" s="170"/>
      <c r="X31" s="170"/>
      <c r="Y31" s="170"/>
      <c r="Z31" s="170"/>
    </row>
    <row r="32">
      <c r="A32" s="259"/>
      <c r="B32" s="260"/>
      <c r="C32" s="261"/>
      <c r="D32" s="262"/>
      <c r="E32" s="259"/>
      <c r="G32" s="170"/>
      <c r="H32" s="170"/>
      <c r="I32" s="170"/>
      <c r="J32" s="170"/>
      <c r="K32" s="170"/>
      <c r="L32" s="170"/>
      <c r="M32" s="170"/>
      <c r="N32" s="170"/>
      <c r="O32" s="170"/>
      <c r="P32" s="170"/>
      <c r="Q32" s="170"/>
      <c r="R32" s="170"/>
      <c r="S32" s="170"/>
      <c r="T32" s="170"/>
      <c r="U32" s="170"/>
      <c r="V32" s="170"/>
      <c r="W32" s="170"/>
      <c r="X32" s="170"/>
      <c r="Y32" s="170"/>
      <c r="Z32" s="170"/>
    </row>
    <row r="33">
      <c r="A33" s="259"/>
      <c r="B33" s="260"/>
      <c r="C33" s="261"/>
      <c r="D33" s="262"/>
      <c r="E33" s="262"/>
      <c r="G33" s="170"/>
      <c r="H33" s="170"/>
      <c r="I33" s="170"/>
      <c r="J33" s="170"/>
      <c r="K33" s="170"/>
      <c r="L33" s="170"/>
      <c r="M33" s="170"/>
      <c r="N33" s="170"/>
      <c r="O33" s="170"/>
      <c r="P33" s="170"/>
      <c r="Q33" s="170"/>
      <c r="R33" s="170"/>
      <c r="S33" s="170"/>
      <c r="T33" s="170"/>
      <c r="U33" s="170"/>
      <c r="V33" s="170"/>
      <c r="W33" s="170"/>
      <c r="X33" s="170"/>
      <c r="Y33" s="170"/>
      <c r="Z33" s="170"/>
    </row>
    <row r="34">
      <c r="A34" s="259"/>
    </row>
    <row r="35">
      <c r="A35" s="225" t="s">
        <v>188</v>
      </c>
      <c r="B35" s="211"/>
      <c r="C35" s="211"/>
      <c r="D35" s="211"/>
      <c r="E35" s="211"/>
      <c r="F35" s="91"/>
      <c r="G35" s="170"/>
      <c r="H35" s="170"/>
      <c r="I35" s="170"/>
      <c r="J35" s="170"/>
      <c r="K35" s="170"/>
      <c r="L35" s="170"/>
      <c r="M35" s="170"/>
      <c r="N35" s="170"/>
      <c r="O35" s="170"/>
      <c r="P35" s="170"/>
      <c r="Q35" s="170"/>
      <c r="R35" s="170"/>
      <c r="S35" s="170"/>
      <c r="T35" s="170"/>
      <c r="U35" s="170"/>
      <c r="V35" s="170"/>
      <c r="W35" s="170"/>
      <c r="X35" s="170"/>
      <c r="Y35" s="170"/>
      <c r="Z35" s="170"/>
    </row>
    <row r="36" ht="26.25" customHeight="1">
      <c r="A36" s="227">
        <v>29.6</v>
      </c>
      <c r="B36" s="228">
        <v>23.0</v>
      </c>
      <c r="C36" s="229" t="s">
        <v>21</v>
      </c>
      <c r="D36" s="230" t="s">
        <v>117</v>
      </c>
      <c r="E36" s="5"/>
      <c r="F36" s="5"/>
      <c r="G36" s="170"/>
      <c r="H36" s="170"/>
      <c r="I36" s="170"/>
      <c r="J36" s="170"/>
      <c r="K36" s="170"/>
      <c r="L36" s="170"/>
      <c r="M36" s="170"/>
      <c r="N36" s="170"/>
      <c r="O36" s="170"/>
      <c r="P36" s="170"/>
      <c r="Q36" s="170"/>
      <c r="R36" s="170"/>
      <c r="S36" s="170"/>
      <c r="T36" s="170"/>
      <c r="U36" s="170"/>
      <c r="V36" s="170"/>
      <c r="W36" s="170"/>
      <c r="X36" s="170"/>
      <c r="Y36" s="170"/>
      <c r="Z36" s="170"/>
    </row>
    <row r="37" ht="29.25" customHeight="1">
      <c r="A37" s="232" t="s">
        <v>219</v>
      </c>
      <c r="B37" s="211"/>
      <c r="C37" s="211"/>
      <c r="D37" s="91"/>
      <c r="E37" s="263" t="s">
        <v>24</v>
      </c>
      <c r="F37" s="48"/>
      <c r="G37" s="170"/>
      <c r="H37" s="170"/>
      <c r="I37" s="170"/>
      <c r="J37" s="170"/>
      <c r="K37" s="170"/>
      <c r="L37" s="170"/>
      <c r="M37" s="170"/>
      <c r="N37" s="170"/>
      <c r="O37" s="170"/>
      <c r="P37" s="170"/>
      <c r="Q37" s="170"/>
      <c r="R37" s="170"/>
      <c r="S37" s="170"/>
      <c r="T37" s="170"/>
      <c r="U37" s="170"/>
      <c r="V37" s="170"/>
      <c r="W37" s="170"/>
      <c r="X37" s="170"/>
      <c r="Y37" s="170"/>
      <c r="Z37" s="170"/>
    </row>
    <row r="38" ht="31.5" customHeight="1">
      <c r="A38" s="264" t="s">
        <v>176</v>
      </c>
      <c r="B38" s="265" t="s">
        <v>26</v>
      </c>
      <c r="C38" s="265" t="s">
        <v>119</v>
      </c>
      <c r="D38" s="235" t="s">
        <v>220</v>
      </c>
      <c r="E38" s="266" t="s">
        <v>28</v>
      </c>
      <c r="F38" s="48"/>
      <c r="G38" s="170"/>
      <c r="H38" s="170"/>
      <c r="I38" s="170"/>
      <c r="J38" s="170"/>
      <c r="K38" s="170"/>
      <c r="L38" s="170"/>
      <c r="M38" s="170"/>
      <c r="N38" s="170"/>
      <c r="O38" s="170"/>
      <c r="P38" s="170"/>
      <c r="Q38" s="170"/>
      <c r="R38" s="170"/>
      <c r="S38" s="170"/>
      <c r="T38" s="170"/>
      <c r="U38" s="170"/>
      <c r="V38" s="170"/>
      <c r="W38" s="170"/>
      <c r="X38" s="170"/>
      <c r="Y38" s="170"/>
      <c r="Z38" s="170"/>
    </row>
    <row r="39">
      <c r="A39" s="249" t="s">
        <v>238</v>
      </c>
      <c r="B39" s="267" t="s">
        <v>239</v>
      </c>
      <c r="C39" s="268">
        <f t="shared" ref="C39:C45" si="2">29.6*$B$8</f>
        <v>680.8</v>
      </c>
      <c r="D39" s="269" t="s">
        <v>178</v>
      </c>
      <c r="E39" s="244"/>
      <c r="F39" s="48"/>
      <c r="G39" s="170"/>
      <c r="H39" s="170"/>
      <c r="I39" s="170"/>
      <c r="J39" s="170"/>
      <c r="K39" s="170"/>
      <c r="L39" s="170"/>
      <c r="M39" s="170"/>
      <c r="N39" s="170"/>
      <c r="O39" s="170"/>
      <c r="P39" s="170"/>
      <c r="Q39" s="170"/>
      <c r="R39" s="170"/>
      <c r="S39" s="170"/>
      <c r="T39" s="170"/>
      <c r="U39" s="170"/>
      <c r="V39" s="170"/>
      <c r="W39" s="170"/>
      <c r="X39" s="170"/>
      <c r="Y39" s="170"/>
      <c r="Z39" s="170"/>
    </row>
    <row r="40">
      <c r="A40" s="249" t="s">
        <v>240</v>
      </c>
      <c r="B40" s="251" t="s">
        <v>226</v>
      </c>
      <c r="C40" s="268">
        <f t="shared" si="2"/>
        <v>680.8</v>
      </c>
      <c r="D40" s="269" t="s">
        <v>178</v>
      </c>
      <c r="E40" s="179"/>
      <c r="F40" s="48"/>
    </row>
    <row r="41">
      <c r="A41" s="163" t="s">
        <v>80</v>
      </c>
      <c r="B41" s="255" t="s">
        <v>81</v>
      </c>
      <c r="C41" s="268">
        <f t="shared" si="2"/>
        <v>680.8</v>
      </c>
      <c r="D41" s="270" t="s">
        <v>178</v>
      </c>
      <c r="E41" s="254"/>
      <c r="F41" s="48"/>
    </row>
    <row r="42">
      <c r="A42" s="163" t="s">
        <v>59</v>
      </c>
      <c r="B42" s="255" t="s">
        <v>60</v>
      </c>
      <c r="C42" s="268">
        <f t="shared" si="2"/>
        <v>680.8</v>
      </c>
      <c r="D42" s="270" t="s">
        <v>178</v>
      </c>
      <c r="E42" s="179"/>
      <c r="F42" s="48"/>
    </row>
    <row r="43">
      <c r="A43" s="163" t="s">
        <v>134</v>
      </c>
      <c r="B43" s="255" t="s">
        <v>236</v>
      </c>
      <c r="C43" s="268">
        <f t="shared" si="2"/>
        <v>680.8</v>
      </c>
      <c r="D43" s="255" t="s">
        <v>178</v>
      </c>
      <c r="E43" s="179"/>
      <c r="F43" s="48"/>
    </row>
    <row r="44">
      <c r="A44" s="249" t="s">
        <v>241</v>
      </c>
      <c r="B44" s="251" t="s">
        <v>242</v>
      </c>
      <c r="C44" s="268">
        <f t="shared" si="2"/>
        <v>680.8</v>
      </c>
      <c r="D44" s="269" t="s">
        <v>178</v>
      </c>
      <c r="E44" s="253"/>
      <c r="F44" s="91"/>
    </row>
    <row r="45">
      <c r="A45" s="163" t="s">
        <v>195</v>
      </c>
      <c r="B45" s="255" t="s">
        <v>237</v>
      </c>
      <c r="C45" s="268">
        <f t="shared" si="2"/>
        <v>680.8</v>
      </c>
      <c r="D45" s="269" t="s">
        <v>178</v>
      </c>
      <c r="E45" s="253"/>
      <c r="F45" s="91"/>
    </row>
    <row r="46">
      <c r="A46" s="256" t="s">
        <v>214</v>
      </c>
      <c r="B46" s="91"/>
      <c r="C46" s="257">
        <f>SUM(C39:C45)</f>
        <v>4765.6</v>
      </c>
      <c r="D46" s="218"/>
      <c r="E46" s="258"/>
      <c r="F46" s="91"/>
    </row>
  </sheetData>
  <mergeCells count="46">
    <mergeCell ref="A1:D1"/>
    <mergeCell ref="B2:D2"/>
    <mergeCell ref="B3:D3"/>
    <mergeCell ref="B4:D4"/>
    <mergeCell ref="A7:F7"/>
    <mergeCell ref="A9:D9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30:F30"/>
    <mergeCell ref="E31:F31"/>
    <mergeCell ref="E32:F32"/>
    <mergeCell ref="E33:F33"/>
    <mergeCell ref="A34:Z34"/>
    <mergeCell ref="E24:F24"/>
    <mergeCell ref="E25:F25"/>
    <mergeCell ref="E26:F26"/>
    <mergeCell ref="E27:F27"/>
    <mergeCell ref="E28:F28"/>
    <mergeCell ref="E29:F29"/>
    <mergeCell ref="A31:B31"/>
    <mergeCell ref="E42:F42"/>
    <mergeCell ref="E43:F43"/>
    <mergeCell ref="E44:F44"/>
    <mergeCell ref="E45:F45"/>
    <mergeCell ref="A46:B46"/>
    <mergeCell ref="E46:F46"/>
    <mergeCell ref="A35:F35"/>
    <mergeCell ref="A37:D37"/>
    <mergeCell ref="E37:F37"/>
    <mergeCell ref="E38:F38"/>
    <mergeCell ref="E39:F39"/>
    <mergeCell ref="E40:F40"/>
    <mergeCell ref="E41:F41"/>
  </mergeCells>
  <printOptions gridLines="1" horizontalCentered="1"/>
  <pageMargins bottom="0.75" footer="0.0" header="0.0" left="0.25" right="0.25" top="0.75"/>
  <pageSetup paperSize="9" cellComments="atEnd" orientation="portrait" pageOrder="overThenDown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27.63"/>
    <col customWidth="1" min="2" max="2" width="14.25"/>
    <col customWidth="1" min="3" max="3" width="10.63"/>
    <col customWidth="1" min="4" max="4" width="12.13"/>
    <col customWidth="1" min="5" max="5" width="51.25"/>
    <col customWidth="1" min="6" max="6" width="4.5"/>
  </cols>
  <sheetData>
    <row r="1" ht="41.25" customHeight="1">
      <c r="A1" s="203" t="s">
        <v>3</v>
      </c>
      <c r="D1" s="15"/>
    </row>
    <row r="2" ht="30.75" customHeight="1">
      <c r="A2" s="206" t="s">
        <v>210</v>
      </c>
      <c r="B2" s="209">
        <f>C31</f>
        <v>10685.6</v>
      </c>
      <c r="C2" s="211"/>
      <c r="D2" s="91"/>
    </row>
    <row r="3" ht="30.0" customHeight="1">
      <c r="A3" s="206" t="s">
        <v>214</v>
      </c>
      <c r="B3" s="213">
        <f>C46</f>
        <v>3936.8</v>
      </c>
      <c r="C3" s="211"/>
      <c r="D3" s="91"/>
    </row>
    <row r="4" ht="33.75" customHeight="1">
      <c r="A4" s="214" t="s">
        <v>217</v>
      </c>
      <c r="B4" s="219">
        <f>B2+B3</f>
        <v>14622.4</v>
      </c>
      <c r="C4" s="211"/>
      <c r="D4" s="91"/>
    </row>
    <row r="5">
      <c r="A5" s="186"/>
      <c r="B5" s="221"/>
      <c r="C5" s="221"/>
      <c r="D5" s="221"/>
      <c r="E5" s="39"/>
      <c r="F5" s="5"/>
    </row>
    <row r="6">
      <c r="A6" s="186"/>
      <c r="B6" s="221"/>
      <c r="C6" s="221"/>
      <c r="D6" s="221"/>
      <c r="E6" s="39"/>
      <c r="F6" s="5"/>
    </row>
    <row r="7">
      <c r="A7" s="225" t="s">
        <v>198</v>
      </c>
      <c r="B7" s="211"/>
      <c r="C7" s="211"/>
      <c r="D7" s="211"/>
      <c r="E7" s="211"/>
      <c r="F7" s="91"/>
    </row>
    <row r="8" ht="24.0" customHeight="1">
      <c r="A8" s="227">
        <v>29.6</v>
      </c>
      <c r="B8" s="228">
        <v>19.0</v>
      </c>
      <c r="C8" s="229" t="s">
        <v>21</v>
      </c>
      <c r="D8" s="230" t="s">
        <v>117</v>
      </c>
      <c r="E8" s="5"/>
      <c r="F8" s="5"/>
    </row>
    <row r="9" ht="31.5" customHeight="1">
      <c r="A9" s="232" t="s">
        <v>243</v>
      </c>
      <c r="B9" s="211"/>
      <c r="C9" s="211"/>
      <c r="D9" s="91"/>
      <c r="E9" s="47" t="s">
        <v>24</v>
      </c>
      <c r="F9" s="48"/>
    </row>
    <row r="10" ht="24.75" customHeight="1">
      <c r="A10" s="49" t="s">
        <v>176</v>
      </c>
      <c r="B10" s="50" t="s">
        <v>26</v>
      </c>
      <c r="C10" s="50" t="s">
        <v>119</v>
      </c>
      <c r="D10" s="235" t="s">
        <v>220</v>
      </c>
      <c r="E10" s="54" t="s">
        <v>28</v>
      </c>
      <c r="F10" s="48"/>
    </row>
    <row r="11">
      <c r="A11" s="133" t="s">
        <v>33</v>
      </c>
      <c r="B11" s="134" t="s">
        <v>34</v>
      </c>
      <c r="C11" s="135">
        <f t="shared" ref="C11:C29" si="1">29.6*$B$8</f>
        <v>562.4</v>
      </c>
      <c r="D11" s="239" t="s">
        <v>244</v>
      </c>
      <c r="E11" s="240"/>
      <c r="F11" s="48"/>
    </row>
    <row r="12">
      <c r="A12" s="133" t="s">
        <v>35</v>
      </c>
      <c r="B12" s="134" t="s">
        <v>36</v>
      </c>
      <c r="C12" s="135">
        <f t="shared" si="1"/>
        <v>562.4</v>
      </c>
      <c r="D12" s="239" t="s">
        <v>244</v>
      </c>
      <c r="E12" s="205"/>
      <c r="F12" s="48"/>
    </row>
    <row r="13">
      <c r="A13" s="133" t="s">
        <v>43</v>
      </c>
      <c r="B13" s="134" t="s">
        <v>44</v>
      </c>
      <c r="C13" s="135">
        <f t="shared" si="1"/>
        <v>562.4</v>
      </c>
      <c r="D13" s="239" t="s">
        <v>244</v>
      </c>
      <c r="E13" s="137"/>
      <c r="F13" s="48"/>
    </row>
    <row r="14">
      <c r="A14" s="133" t="s">
        <v>55</v>
      </c>
      <c r="B14" s="134" t="s">
        <v>56</v>
      </c>
      <c r="C14" s="135">
        <f t="shared" si="1"/>
        <v>562.4</v>
      </c>
      <c r="D14" s="239" t="s">
        <v>244</v>
      </c>
      <c r="E14" s="137"/>
      <c r="F14" s="48"/>
    </row>
    <row r="15">
      <c r="A15" s="138" t="s">
        <v>139</v>
      </c>
      <c r="B15" s="189" t="s">
        <v>140</v>
      </c>
      <c r="C15" s="135">
        <f t="shared" si="1"/>
        <v>562.4</v>
      </c>
      <c r="D15" s="239" t="s">
        <v>244</v>
      </c>
      <c r="E15" s="205"/>
      <c r="F15" s="48"/>
    </row>
    <row r="16">
      <c r="A16" s="142" t="s">
        <v>147</v>
      </c>
      <c r="B16" s="143" t="s">
        <v>148</v>
      </c>
      <c r="C16" s="135">
        <f t="shared" si="1"/>
        <v>562.4</v>
      </c>
      <c r="D16" s="239" t="s">
        <v>244</v>
      </c>
      <c r="E16" s="137"/>
      <c r="F16" s="48"/>
    </row>
    <row r="17">
      <c r="A17" s="133" t="s">
        <v>61</v>
      </c>
      <c r="B17" s="134" t="s">
        <v>62</v>
      </c>
      <c r="C17" s="135">
        <f t="shared" si="1"/>
        <v>562.4</v>
      </c>
      <c r="D17" s="239" t="s">
        <v>244</v>
      </c>
      <c r="E17" s="137"/>
      <c r="F17" s="48"/>
    </row>
    <row r="18">
      <c r="A18" s="190" t="s">
        <v>164</v>
      </c>
      <c r="B18" s="191" t="s">
        <v>165</v>
      </c>
      <c r="C18" s="166">
        <f t="shared" si="1"/>
        <v>562.4</v>
      </c>
      <c r="D18" s="239" t="s">
        <v>244</v>
      </c>
      <c r="E18" s="137"/>
      <c r="F18" s="48"/>
    </row>
    <row r="19">
      <c r="A19" s="193" t="s">
        <v>114</v>
      </c>
      <c r="B19" s="194" t="s">
        <v>115</v>
      </c>
      <c r="C19" s="166">
        <f t="shared" si="1"/>
        <v>562.4</v>
      </c>
      <c r="D19" s="239" t="s">
        <v>244</v>
      </c>
      <c r="E19" s="137"/>
      <c r="F19" s="48"/>
    </row>
    <row r="20">
      <c r="A20" s="193" t="s">
        <v>171</v>
      </c>
      <c r="B20" s="196" t="s">
        <v>224</v>
      </c>
      <c r="C20" s="174">
        <f t="shared" si="1"/>
        <v>562.4</v>
      </c>
      <c r="D20" s="239" t="s">
        <v>244</v>
      </c>
      <c r="E20" s="149"/>
      <c r="F20" s="48"/>
    </row>
    <row r="21">
      <c r="A21" s="193" t="s">
        <v>167</v>
      </c>
      <c r="B21" s="196" t="s">
        <v>201</v>
      </c>
      <c r="C21" s="174">
        <f t="shared" si="1"/>
        <v>562.4</v>
      </c>
      <c r="D21" s="239" t="s">
        <v>244</v>
      </c>
      <c r="E21" s="137"/>
      <c r="F21" s="48"/>
    </row>
    <row r="22">
      <c r="A22" s="252" t="s">
        <v>227</v>
      </c>
      <c r="B22" s="196" t="s">
        <v>228</v>
      </c>
      <c r="C22" s="174">
        <f t="shared" si="1"/>
        <v>562.4</v>
      </c>
      <c r="D22" s="239" t="s">
        <v>244</v>
      </c>
      <c r="E22" s="205"/>
      <c r="F22" s="48"/>
    </row>
    <row r="23">
      <c r="A23" s="193" t="s">
        <v>77</v>
      </c>
      <c r="B23" s="194" t="s">
        <v>78</v>
      </c>
      <c r="C23" s="174">
        <f t="shared" si="1"/>
        <v>562.4</v>
      </c>
      <c r="D23" s="239" t="s">
        <v>244</v>
      </c>
      <c r="E23" s="137"/>
      <c r="F23" s="48"/>
    </row>
    <row r="24">
      <c r="A24" s="198" t="s">
        <v>186</v>
      </c>
      <c r="B24" s="196" t="s">
        <v>202</v>
      </c>
      <c r="C24" s="174">
        <f t="shared" si="1"/>
        <v>562.4</v>
      </c>
      <c r="D24" s="239" t="s">
        <v>244</v>
      </c>
      <c r="E24" s="137"/>
      <c r="F24" s="48"/>
    </row>
    <row r="25">
      <c r="A25" s="193" t="s">
        <v>172</v>
      </c>
      <c r="B25" s="196" t="s">
        <v>232</v>
      </c>
      <c r="C25" s="174">
        <f t="shared" si="1"/>
        <v>562.4</v>
      </c>
      <c r="D25" s="239" t="s">
        <v>244</v>
      </c>
      <c r="E25" s="137"/>
      <c r="F25" s="48"/>
    </row>
    <row r="26">
      <c r="A26" s="119" t="s">
        <v>203</v>
      </c>
      <c r="B26" s="199" t="s">
        <v>204</v>
      </c>
      <c r="C26" s="200">
        <f t="shared" si="1"/>
        <v>562.4</v>
      </c>
      <c r="D26" s="239" t="s">
        <v>244</v>
      </c>
      <c r="E26" s="137"/>
      <c r="F26" s="48"/>
    </row>
    <row r="27">
      <c r="A27" s="252" t="s">
        <v>234</v>
      </c>
      <c r="B27" s="202" t="s">
        <v>235</v>
      </c>
      <c r="C27" s="200">
        <f t="shared" si="1"/>
        <v>562.4</v>
      </c>
      <c r="D27" s="239" t="s">
        <v>244</v>
      </c>
      <c r="E27" s="205"/>
      <c r="F27" s="48"/>
    </row>
    <row r="28">
      <c r="A28" s="201" t="s">
        <v>209</v>
      </c>
      <c r="B28" s="202" t="s">
        <v>211</v>
      </c>
      <c r="C28" s="200">
        <f t="shared" si="1"/>
        <v>562.4</v>
      </c>
      <c r="D28" s="239" t="s">
        <v>244</v>
      </c>
      <c r="E28" s="207"/>
      <c r="F28" s="91"/>
    </row>
    <row r="29">
      <c r="A29" s="208" t="s">
        <v>212</v>
      </c>
      <c r="B29" s="210" t="s">
        <v>213</v>
      </c>
      <c r="C29" s="200">
        <f t="shared" si="1"/>
        <v>562.4</v>
      </c>
      <c r="D29" s="239" t="s">
        <v>244</v>
      </c>
      <c r="E29" s="207"/>
      <c r="F29" s="91"/>
    </row>
    <row r="30">
      <c r="A30" s="208"/>
      <c r="B30" s="212"/>
      <c r="C30" s="200"/>
      <c r="D30" s="194"/>
      <c r="E30" s="207"/>
      <c r="F30" s="91"/>
    </row>
    <row r="31">
      <c r="A31" s="256" t="s">
        <v>210</v>
      </c>
      <c r="B31" s="91"/>
      <c r="C31" s="257">
        <f>SUM(C11:C30)</f>
        <v>10685.6</v>
      </c>
      <c r="D31" s="218"/>
      <c r="E31" s="258"/>
      <c r="F31" s="91"/>
      <c r="G31" s="170"/>
      <c r="H31" s="170"/>
      <c r="I31" s="170"/>
      <c r="J31" s="170"/>
      <c r="K31" s="170"/>
      <c r="L31" s="170"/>
      <c r="M31" s="170"/>
      <c r="N31" s="170"/>
      <c r="O31" s="170"/>
      <c r="P31" s="170"/>
      <c r="Q31" s="170"/>
      <c r="R31" s="170"/>
      <c r="S31" s="170"/>
      <c r="T31" s="170"/>
      <c r="U31" s="170"/>
      <c r="V31" s="170"/>
      <c r="W31" s="170"/>
      <c r="X31" s="170"/>
      <c r="Y31" s="170"/>
      <c r="Z31" s="170"/>
    </row>
    <row r="32">
      <c r="A32" s="259"/>
      <c r="B32" s="260"/>
      <c r="C32" s="261"/>
      <c r="D32" s="262"/>
      <c r="E32" s="259"/>
      <c r="G32" s="170"/>
      <c r="H32" s="170"/>
      <c r="I32" s="170"/>
      <c r="J32" s="170"/>
      <c r="K32" s="170"/>
      <c r="L32" s="170"/>
      <c r="M32" s="170"/>
      <c r="N32" s="170"/>
      <c r="O32" s="170"/>
      <c r="P32" s="170"/>
      <c r="Q32" s="170"/>
      <c r="R32" s="170"/>
      <c r="S32" s="170"/>
      <c r="T32" s="170"/>
      <c r="U32" s="170"/>
      <c r="V32" s="170"/>
      <c r="W32" s="170"/>
      <c r="X32" s="170"/>
      <c r="Y32" s="170"/>
      <c r="Z32" s="170"/>
    </row>
    <row r="33">
      <c r="A33" s="259"/>
      <c r="B33" s="260"/>
      <c r="C33" s="261"/>
      <c r="D33" s="262"/>
      <c r="E33" s="262"/>
      <c r="G33" s="170"/>
      <c r="H33" s="170"/>
      <c r="I33" s="170"/>
      <c r="J33" s="170"/>
      <c r="K33" s="170"/>
      <c r="L33" s="170"/>
      <c r="M33" s="170"/>
      <c r="N33" s="170"/>
      <c r="O33" s="170"/>
      <c r="P33" s="170"/>
      <c r="Q33" s="170"/>
      <c r="R33" s="170"/>
      <c r="S33" s="170"/>
      <c r="T33" s="170"/>
      <c r="U33" s="170"/>
      <c r="V33" s="170"/>
      <c r="W33" s="170"/>
      <c r="X33" s="170"/>
      <c r="Y33" s="170"/>
      <c r="Z33" s="170"/>
    </row>
    <row r="34">
      <c r="A34" s="259"/>
    </row>
    <row r="35">
      <c r="A35" s="225" t="s">
        <v>188</v>
      </c>
      <c r="B35" s="211"/>
      <c r="C35" s="211"/>
      <c r="D35" s="211"/>
      <c r="E35" s="211"/>
      <c r="F35" s="91"/>
      <c r="G35" s="170"/>
      <c r="H35" s="170"/>
      <c r="I35" s="170"/>
      <c r="J35" s="170"/>
      <c r="K35" s="170"/>
      <c r="L35" s="170"/>
      <c r="M35" s="170"/>
      <c r="N35" s="170"/>
      <c r="O35" s="170"/>
      <c r="P35" s="170"/>
      <c r="Q35" s="170"/>
      <c r="R35" s="170"/>
      <c r="S35" s="170"/>
      <c r="T35" s="170"/>
      <c r="U35" s="170"/>
      <c r="V35" s="170"/>
      <c r="W35" s="170"/>
      <c r="X35" s="170"/>
      <c r="Y35" s="170"/>
      <c r="Z35" s="170"/>
    </row>
    <row r="36" ht="26.25" customHeight="1">
      <c r="A36" s="227">
        <v>29.6</v>
      </c>
      <c r="B36" s="228">
        <v>19.0</v>
      </c>
      <c r="C36" s="229" t="s">
        <v>21</v>
      </c>
      <c r="D36" s="230" t="s">
        <v>117</v>
      </c>
      <c r="E36" s="5"/>
      <c r="F36" s="5"/>
      <c r="G36" s="170"/>
      <c r="H36" s="170"/>
      <c r="I36" s="170"/>
      <c r="J36" s="170"/>
      <c r="K36" s="170"/>
      <c r="L36" s="170"/>
      <c r="M36" s="170"/>
      <c r="N36" s="170"/>
      <c r="O36" s="170"/>
      <c r="P36" s="170"/>
      <c r="Q36" s="170"/>
      <c r="R36" s="170"/>
      <c r="S36" s="170"/>
      <c r="T36" s="170"/>
      <c r="U36" s="170"/>
      <c r="V36" s="170"/>
      <c r="W36" s="170"/>
      <c r="X36" s="170"/>
      <c r="Y36" s="170"/>
      <c r="Z36" s="170"/>
    </row>
    <row r="37" ht="29.25" customHeight="1">
      <c r="A37" s="232" t="s">
        <v>243</v>
      </c>
      <c r="B37" s="211"/>
      <c r="C37" s="211"/>
      <c r="D37" s="91"/>
      <c r="E37" s="263" t="s">
        <v>24</v>
      </c>
      <c r="F37" s="48"/>
      <c r="G37" s="170"/>
      <c r="H37" s="170"/>
      <c r="I37" s="170"/>
      <c r="J37" s="170"/>
      <c r="K37" s="170"/>
      <c r="L37" s="170"/>
      <c r="M37" s="170"/>
      <c r="N37" s="170"/>
      <c r="O37" s="170"/>
      <c r="P37" s="170"/>
      <c r="Q37" s="170"/>
      <c r="R37" s="170"/>
      <c r="S37" s="170"/>
      <c r="T37" s="170"/>
      <c r="U37" s="170"/>
      <c r="V37" s="170"/>
      <c r="W37" s="170"/>
      <c r="X37" s="170"/>
      <c r="Y37" s="170"/>
      <c r="Z37" s="170"/>
    </row>
    <row r="38" ht="31.5" customHeight="1">
      <c r="A38" s="264" t="s">
        <v>176</v>
      </c>
      <c r="B38" s="265" t="s">
        <v>26</v>
      </c>
      <c r="C38" s="265" t="s">
        <v>119</v>
      </c>
      <c r="D38" s="235" t="s">
        <v>220</v>
      </c>
      <c r="E38" s="266" t="s">
        <v>28</v>
      </c>
      <c r="F38" s="48"/>
      <c r="G38" s="170"/>
      <c r="H38" s="170"/>
      <c r="I38" s="170"/>
      <c r="J38" s="170"/>
      <c r="K38" s="170"/>
      <c r="L38" s="170"/>
      <c r="M38" s="170"/>
      <c r="N38" s="170"/>
      <c r="O38" s="170"/>
      <c r="P38" s="170"/>
      <c r="Q38" s="170"/>
      <c r="R38" s="170"/>
      <c r="S38" s="170"/>
      <c r="T38" s="170"/>
      <c r="U38" s="170"/>
      <c r="V38" s="170"/>
      <c r="W38" s="170"/>
      <c r="X38" s="170"/>
      <c r="Y38" s="170"/>
      <c r="Z38" s="170"/>
    </row>
    <row r="39">
      <c r="A39" s="249" t="s">
        <v>238</v>
      </c>
      <c r="B39" s="267" t="s">
        <v>239</v>
      </c>
      <c r="C39" s="268">
        <f t="shared" ref="C39:C45" si="2">29.6*$B$8</f>
        <v>562.4</v>
      </c>
      <c r="D39" s="270" t="s">
        <v>244</v>
      </c>
      <c r="E39" s="244"/>
      <c r="F39" s="48"/>
      <c r="G39" s="170"/>
      <c r="H39" s="170"/>
      <c r="I39" s="170"/>
      <c r="J39" s="170"/>
      <c r="K39" s="170"/>
      <c r="L39" s="170"/>
      <c r="M39" s="170"/>
      <c r="N39" s="170"/>
      <c r="O39" s="170"/>
      <c r="P39" s="170"/>
      <c r="Q39" s="170"/>
      <c r="R39" s="170"/>
      <c r="S39" s="170"/>
      <c r="T39" s="170"/>
      <c r="U39" s="170"/>
      <c r="V39" s="170"/>
      <c r="W39" s="170"/>
      <c r="X39" s="170"/>
      <c r="Y39" s="170"/>
      <c r="Z39" s="170"/>
    </row>
    <row r="40">
      <c r="A40" s="249" t="s">
        <v>245</v>
      </c>
      <c r="B40" s="251" t="s">
        <v>226</v>
      </c>
      <c r="C40" s="268">
        <f t="shared" si="2"/>
        <v>562.4</v>
      </c>
      <c r="D40" s="270" t="s">
        <v>244</v>
      </c>
      <c r="E40" s="179"/>
      <c r="F40" s="48"/>
    </row>
    <row r="41">
      <c r="A41" s="163" t="s">
        <v>80</v>
      </c>
      <c r="B41" s="255" t="s">
        <v>81</v>
      </c>
      <c r="C41" s="268">
        <f t="shared" si="2"/>
        <v>562.4</v>
      </c>
      <c r="D41" s="270" t="s">
        <v>244</v>
      </c>
      <c r="E41" s="254"/>
      <c r="F41" s="48"/>
    </row>
    <row r="42">
      <c r="A42" s="163" t="s">
        <v>59</v>
      </c>
      <c r="B42" s="255" t="s">
        <v>60</v>
      </c>
      <c r="C42" s="268">
        <f t="shared" si="2"/>
        <v>562.4</v>
      </c>
      <c r="D42" s="270" t="s">
        <v>244</v>
      </c>
      <c r="E42" s="179"/>
      <c r="F42" s="48"/>
    </row>
    <row r="43">
      <c r="A43" s="163" t="s">
        <v>134</v>
      </c>
      <c r="B43" s="255" t="s">
        <v>236</v>
      </c>
      <c r="C43" s="268">
        <f t="shared" si="2"/>
        <v>562.4</v>
      </c>
      <c r="D43" s="270" t="s">
        <v>244</v>
      </c>
      <c r="E43" s="179"/>
      <c r="F43" s="48"/>
    </row>
    <row r="44">
      <c r="A44" s="249" t="s">
        <v>241</v>
      </c>
      <c r="B44" s="251" t="s">
        <v>242</v>
      </c>
      <c r="C44" s="268">
        <f t="shared" si="2"/>
        <v>562.4</v>
      </c>
      <c r="D44" s="270" t="s">
        <v>244</v>
      </c>
      <c r="E44" s="253"/>
      <c r="F44" s="91"/>
    </row>
    <row r="45">
      <c r="A45" s="163" t="s">
        <v>195</v>
      </c>
      <c r="B45" s="255" t="s">
        <v>237</v>
      </c>
      <c r="C45" s="268">
        <f t="shared" si="2"/>
        <v>562.4</v>
      </c>
      <c r="D45" s="270" t="s">
        <v>244</v>
      </c>
      <c r="E45" s="253"/>
      <c r="F45" s="91"/>
    </row>
    <row r="46">
      <c r="A46" s="256" t="s">
        <v>214</v>
      </c>
      <c r="B46" s="91"/>
      <c r="C46" s="257">
        <f>SUM(C39:C45)</f>
        <v>3936.8</v>
      </c>
      <c r="D46" s="218"/>
      <c r="E46" s="258"/>
      <c r="F46" s="91"/>
    </row>
  </sheetData>
  <mergeCells count="46">
    <mergeCell ref="A1:D1"/>
    <mergeCell ref="B2:D2"/>
    <mergeCell ref="B3:D3"/>
    <mergeCell ref="B4:D4"/>
    <mergeCell ref="A7:F7"/>
    <mergeCell ref="A9:D9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30:F30"/>
    <mergeCell ref="E31:F31"/>
    <mergeCell ref="E32:F32"/>
    <mergeCell ref="E33:F33"/>
    <mergeCell ref="A34:Z34"/>
    <mergeCell ref="E24:F24"/>
    <mergeCell ref="E25:F25"/>
    <mergeCell ref="E26:F26"/>
    <mergeCell ref="E27:F27"/>
    <mergeCell ref="E28:F28"/>
    <mergeCell ref="E29:F29"/>
    <mergeCell ref="A31:B31"/>
    <mergeCell ref="E42:F42"/>
    <mergeCell ref="E43:F43"/>
    <mergeCell ref="E44:F44"/>
    <mergeCell ref="E45:F45"/>
    <mergeCell ref="A46:B46"/>
    <mergeCell ref="E46:F46"/>
    <mergeCell ref="A35:F35"/>
    <mergeCell ref="A37:D37"/>
    <mergeCell ref="E37:F37"/>
    <mergeCell ref="E38:F38"/>
    <mergeCell ref="E39:F39"/>
    <mergeCell ref="E40:F40"/>
    <mergeCell ref="E41:F41"/>
  </mergeCells>
  <printOptions gridLines="1" horizontalCentered="1"/>
  <pageMargins bottom="0.75" footer="0.0" header="0.0" left="0.25" right="0.25" top="0.75"/>
  <pageSetup paperSize="9" cellComments="atEnd" orientation="portrait" pageOrder="overThenDown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27.63"/>
    <col customWidth="1" min="2" max="2" width="14.25"/>
    <col customWidth="1" min="3" max="3" width="10.63"/>
    <col customWidth="1" min="4" max="4" width="12.13"/>
    <col customWidth="1" min="5" max="5" width="51.25"/>
    <col customWidth="1" min="6" max="6" width="4.5"/>
  </cols>
  <sheetData>
    <row r="1" ht="41.25" customHeight="1">
      <c r="A1" s="203" t="s">
        <v>3</v>
      </c>
      <c r="D1" s="15"/>
    </row>
    <row r="2" ht="30.75" customHeight="1">
      <c r="A2" s="206" t="s">
        <v>210</v>
      </c>
      <c r="B2" s="209">
        <f>C29</f>
        <v>9560.8</v>
      </c>
      <c r="C2" s="211"/>
      <c r="D2" s="91"/>
    </row>
    <row r="3" ht="30.0" customHeight="1">
      <c r="A3" s="206" t="s">
        <v>214</v>
      </c>
      <c r="B3" s="213">
        <f>C45</f>
        <v>4499.2</v>
      </c>
      <c r="C3" s="211"/>
      <c r="D3" s="91"/>
    </row>
    <row r="4" ht="33.75" customHeight="1">
      <c r="A4" s="214" t="s">
        <v>217</v>
      </c>
      <c r="B4" s="219">
        <f>B2+B3</f>
        <v>14060</v>
      </c>
      <c r="C4" s="211"/>
      <c r="D4" s="91"/>
    </row>
    <row r="5">
      <c r="A5" s="186"/>
      <c r="B5" s="221"/>
      <c r="C5" s="221"/>
      <c r="D5" s="221"/>
      <c r="E5" s="39"/>
      <c r="F5" s="5"/>
    </row>
    <row r="6">
      <c r="A6" s="186"/>
      <c r="B6" s="221"/>
      <c r="C6" s="221"/>
      <c r="D6" s="221"/>
      <c r="E6" s="39"/>
      <c r="F6" s="5"/>
    </row>
    <row r="7">
      <c r="A7" s="225" t="s">
        <v>198</v>
      </c>
      <c r="B7" s="211"/>
      <c r="C7" s="211"/>
      <c r="D7" s="211"/>
      <c r="E7" s="211"/>
      <c r="F7" s="91"/>
    </row>
    <row r="8" ht="24.0" customHeight="1">
      <c r="A8" s="227">
        <v>29.6</v>
      </c>
      <c r="B8" s="228">
        <v>19.0</v>
      </c>
      <c r="C8" s="229" t="s">
        <v>21</v>
      </c>
      <c r="D8" s="230" t="s">
        <v>117</v>
      </c>
      <c r="E8" s="5"/>
      <c r="F8" s="5"/>
    </row>
    <row r="9" ht="31.5" customHeight="1">
      <c r="A9" s="232" t="s">
        <v>246</v>
      </c>
      <c r="B9" s="211"/>
      <c r="C9" s="211"/>
      <c r="D9" s="91"/>
      <c r="E9" s="47" t="s">
        <v>24</v>
      </c>
      <c r="F9" s="48"/>
    </row>
    <row r="10" ht="24.75" customHeight="1">
      <c r="A10" s="49" t="s">
        <v>176</v>
      </c>
      <c r="B10" s="50" t="s">
        <v>26</v>
      </c>
      <c r="C10" s="50" t="s">
        <v>119</v>
      </c>
      <c r="D10" s="235" t="s">
        <v>220</v>
      </c>
      <c r="E10" s="54" t="s">
        <v>28</v>
      </c>
      <c r="F10" s="48"/>
    </row>
    <row r="11">
      <c r="A11" s="133" t="s">
        <v>33</v>
      </c>
      <c r="B11" s="134" t="s">
        <v>34</v>
      </c>
      <c r="C11" s="135">
        <f t="shared" ref="C11:C27" si="1">29.6*$B$8</f>
        <v>562.4</v>
      </c>
      <c r="D11" s="239" t="s">
        <v>244</v>
      </c>
      <c r="E11" s="240"/>
      <c r="F11" s="48"/>
    </row>
    <row r="12">
      <c r="A12" s="133" t="s">
        <v>35</v>
      </c>
      <c r="B12" s="134" t="s">
        <v>36</v>
      </c>
      <c r="C12" s="135">
        <f t="shared" si="1"/>
        <v>562.4</v>
      </c>
      <c r="D12" s="239" t="s">
        <v>244</v>
      </c>
      <c r="E12" s="205"/>
      <c r="F12" s="48"/>
    </row>
    <row r="13">
      <c r="A13" s="133" t="s">
        <v>43</v>
      </c>
      <c r="B13" s="134" t="s">
        <v>44</v>
      </c>
      <c r="C13" s="135">
        <f t="shared" si="1"/>
        <v>562.4</v>
      </c>
      <c r="D13" s="239" t="s">
        <v>244</v>
      </c>
      <c r="E13" s="137"/>
      <c r="F13" s="48"/>
    </row>
    <row r="14">
      <c r="A14" s="133" t="s">
        <v>55</v>
      </c>
      <c r="B14" s="134" t="s">
        <v>56</v>
      </c>
      <c r="C14" s="135">
        <f t="shared" si="1"/>
        <v>562.4</v>
      </c>
      <c r="D14" s="239" t="s">
        <v>244</v>
      </c>
      <c r="E14" s="137"/>
      <c r="F14" s="48"/>
    </row>
    <row r="15">
      <c r="A15" s="138" t="s">
        <v>139</v>
      </c>
      <c r="B15" s="189" t="s">
        <v>140</v>
      </c>
      <c r="C15" s="135">
        <f t="shared" si="1"/>
        <v>562.4</v>
      </c>
      <c r="D15" s="239" t="s">
        <v>244</v>
      </c>
      <c r="E15" s="205"/>
      <c r="F15" s="48"/>
    </row>
    <row r="16">
      <c r="A16" s="142" t="s">
        <v>147</v>
      </c>
      <c r="B16" s="143" t="s">
        <v>148</v>
      </c>
      <c r="C16" s="135">
        <f t="shared" si="1"/>
        <v>562.4</v>
      </c>
      <c r="D16" s="239" t="s">
        <v>244</v>
      </c>
      <c r="E16" s="137"/>
      <c r="F16" s="48"/>
    </row>
    <row r="17">
      <c r="A17" s="133" t="s">
        <v>61</v>
      </c>
      <c r="B17" s="134" t="s">
        <v>62</v>
      </c>
      <c r="C17" s="135">
        <f t="shared" si="1"/>
        <v>562.4</v>
      </c>
      <c r="D17" s="239" t="s">
        <v>244</v>
      </c>
      <c r="E17" s="137"/>
      <c r="F17" s="48"/>
    </row>
    <row r="18">
      <c r="A18" s="190" t="s">
        <v>164</v>
      </c>
      <c r="B18" s="191" t="s">
        <v>165</v>
      </c>
      <c r="C18" s="166">
        <f t="shared" si="1"/>
        <v>562.4</v>
      </c>
      <c r="D18" s="239" t="s">
        <v>244</v>
      </c>
      <c r="E18" s="137"/>
      <c r="F18" s="48"/>
    </row>
    <row r="19">
      <c r="A19" s="193" t="s">
        <v>114</v>
      </c>
      <c r="B19" s="194" t="s">
        <v>115</v>
      </c>
      <c r="C19" s="166">
        <f t="shared" si="1"/>
        <v>562.4</v>
      </c>
      <c r="D19" s="239" t="s">
        <v>244</v>
      </c>
      <c r="E19" s="137"/>
      <c r="F19" s="48"/>
    </row>
    <row r="20">
      <c r="A20" s="193" t="s">
        <v>171</v>
      </c>
      <c r="B20" s="196" t="s">
        <v>224</v>
      </c>
      <c r="C20" s="174">
        <f t="shared" si="1"/>
        <v>562.4</v>
      </c>
      <c r="D20" s="239" t="s">
        <v>244</v>
      </c>
      <c r="E20" s="149"/>
      <c r="F20" s="48"/>
    </row>
    <row r="21">
      <c r="A21" s="193" t="s">
        <v>167</v>
      </c>
      <c r="B21" s="196" t="s">
        <v>201</v>
      </c>
      <c r="C21" s="174">
        <f t="shared" si="1"/>
        <v>562.4</v>
      </c>
      <c r="D21" s="239" t="s">
        <v>244</v>
      </c>
      <c r="E21" s="137"/>
      <c r="F21" s="48"/>
    </row>
    <row r="22">
      <c r="A22" s="193" t="s">
        <v>77</v>
      </c>
      <c r="B22" s="194" t="s">
        <v>78</v>
      </c>
      <c r="C22" s="174">
        <f t="shared" si="1"/>
        <v>562.4</v>
      </c>
      <c r="D22" s="239" t="s">
        <v>244</v>
      </c>
      <c r="E22" s="137"/>
      <c r="F22" s="48"/>
    </row>
    <row r="23">
      <c r="A23" s="198" t="s">
        <v>186</v>
      </c>
      <c r="B23" s="196" t="s">
        <v>202</v>
      </c>
      <c r="C23" s="174">
        <f t="shared" si="1"/>
        <v>562.4</v>
      </c>
      <c r="D23" s="239" t="s">
        <v>244</v>
      </c>
      <c r="E23" s="137"/>
      <c r="F23" s="48"/>
    </row>
    <row r="24">
      <c r="A24" s="193" t="s">
        <v>172</v>
      </c>
      <c r="B24" s="196" t="s">
        <v>232</v>
      </c>
      <c r="C24" s="174">
        <f t="shared" si="1"/>
        <v>562.4</v>
      </c>
      <c r="D24" s="239" t="s">
        <v>244</v>
      </c>
      <c r="E24" s="137"/>
      <c r="F24" s="48"/>
    </row>
    <row r="25">
      <c r="A25" s="119" t="s">
        <v>203</v>
      </c>
      <c r="B25" s="199" t="s">
        <v>204</v>
      </c>
      <c r="C25" s="200">
        <f t="shared" si="1"/>
        <v>562.4</v>
      </c>
      <c r="D25" s="239" t="s">
        <v>244</v>
      </c>
      <c r="E25" s="137"/>
      <c r="F25" s="48"/>
    </row>
    <row r="26">
      <c r="A26" s="252" t="s">
        <v>234</v>
      </c>
      <c r="B26" s="202" t="s">
        <v>235</v>
      </c>
      <c r="C26" s="200">
        <f t="shared" si="1"/>
        <v>562.4</v>
      </c>
      <c r="D26" s="239" t="s">
        <v>244</v>
      </c>
      <c r="E26" s="205"/>
      <c r="F26" s="48"/>
    </row>
    <row r="27">
      <c r="A27" s="208" t="s">
        <v>212</v>
      </c>
      <c r="B27" s="210" t="s">
        <v>213</v>
      </c>
      <c r="C27" s="200">
        <f t="shared" si="1"/>
        <v>562.4</v>
      </c>
      <c r="D27" s="239" t="s">
        <v>244</v>
      </c>
      <c r="E27" s="207"/>
      <c r="F27" s="91"/>
    </row>
    <row r="28">
      <c r="A28" s="208"/>
      <c r="B28" s="212"/>
      <c r="C28" s="200"/>
      <c r="D28" s="194"/>
      <c r="E28" s="207"/>
      <c r="F28" s="91"/>
    </row>
    <row r="29">
      <c r="A29" s="256" t="s">
        <v>210</v>
      </c>
      <c r="B29" s="91"/>
      <c r="C29" s="257">
        <f>SUM(C11:C28)</f>
        <v>9560.8</v>
      </c>
      <c r="D29" s="218"/>
      <c r="E29" s="258"/>
      <c r="F29" s="91"/>
      <c r="G29" s="170"/>
      <c r="H29" s="170"/>
      <c r="I29" s="170"/>
      <c r="J29" s="170"/>
      <c r="K29" s="170"/>
      <c r="L29" s="170"/>
      <c r="M29" s="170"/>
      <c r="N29" s="170"/>
      <c r="O29" s="170"/>
      <c r="P29" s="170"/>
      <c r="Q29" s="170"/>
      <c r="R29" s="170"/>
      <c r="S29" s="170"/>
      <c r="T29" s="170"/>
      <c r="U29" s="170"/>
      <c r="V29" s="170"/>
      <c r="W29" s="170"/>
      <c r="X29" s="170"/>
      <c r="Y29" s="170"/>
      <c r="Z29" s="170"/>
    </row>
    <row r="30">
      <c r="A30" s="259"/>
      <c r="B30" s="260"/>
      <c r="C30" s="261"/>
      <c r="D30" s="262"/>
      <c r="E30" s="259"/>
      <c r="G30" s="170"/>
      <c r="H30" s="170"/>
      <c r="I30" s="170"/>
      <c r="J30" s="170"/>
      <c r="K30" s="170"/>
      <c r="L30" s="170"/>
      <c r="M30" s="170"/>
      <c r="N30" s="170"/>
      <c r="O30" s="170"/>
      <c r="P30" s="170"/>
      <c r="Q30" s="170"/>
      <c r="R30" s="170"/>
      <c r="S30" s="170"/>
      <c r="T30" s="170"/>
      <c r="U30" s="170"/>
      <c r="V30" s="170"/>
      <c r="W30" s="170"/>
      <c r="X30" s="170"/>
      <c r="Y30" s="170"/>
      <c r="Z30" s="170"/>
    </row>
    <row r="31">
      <c r="A31" s="259"/>
      <c r="B31" s="260"/>
      <c r="C31" s="261"/>
      <c r="D31" s="262"/>
      <c r="E31" s="262"/>
      <c r="G31" s="170"/>
      <c r="H31" s="170"/>
      <c r="I31" s="170"/>
      <c r="J31" s="170"/>
      <c r="K31" s="170"/>
      <c r="L31" s="170"/>
      <c r="M31" s="170"/>
      <c r="N31" s="170"/>
      <c r="O31" s="170"/>
      <c r="P31" s="170"/>
      <c r="Q31" s="170"/>
      <c r="R31" s="170"/>
      <c r="S31" s="170"/>
      <c r="T31" s="170"/>
      <c r="U31" s="170"/>
      <c r="V31" s="170"/>
      <c r="W31" s="170"/>
      <c r="X31" s="170"/>
      <c r="Y31" s="170"/>
      <c r="Z31" s="170"/>
    </row>
    <row r="32">
      <c r="A32" s="259"/>
    </row>
    <row r="33">
      <c r="A33" s="225" t="s">
        <v>188</v>
      </c>
      <c r="B33" s="211"/>
      <c r="C33" s="211"/>
      <c r="D33" s="211"/>
      <c r="E33" s="211"/>
      <c r="F33" s="91"/>
      <c r="G33" s="170"/>
      <c r="H33" s="170"/>
      <c r="I33" s="170"/>
      <c r="J33" s="170"/>
      <c r="K33" s="170"/>
      <c r="L33" s="170"/>
      <c r="M33" s="170"/>
      <c r="N33" s="170"/>
      <c r="O33" s="170"/>
      <c r="P33" s="170"/>
      <c r="Q33" s="170"/>
      <c r="R33" s="170"/>
      <c r="S33" s="170"/>
      <c r="T33" s="170"/>
      <c r="U33" s="170"/>
      <c r="V33" s="170"/>
      <c r="W33" s="170"/>
      <c r="X33" s="170"/>
      <c r="Y33" s="170"/>
      <c r="Z33" s="170"/>
    </row>
    <row r="34" ht="26.25" customHeight="1">
      <c r="A34" s="227">
        <v>29.6</v>
      </c>
      <c r="B34" s="228">
        <v>19.0</v>
      </c>
      <c r="C34" s="229" t="s">
        <v>21</v>
      </c>
      <c r="D34" s="230" t="s">
        <v>117</v>
      </c>
      <c r="E34" s="5"/>
      <c r="F34" s="5"/>
      <c r="G34" s="170"/>
      <c r="H34" s="170"/>
      <c r="I34" s="170"/>
      <c r="J34" s="170"/>
      <c r="K34" s="170"/>
      <c r="L34" s="170"/>
      <c r="M34" s="170"/>
      <c r="N34" s="170"/>
      <c r="O34" s="170"/>
      <c r="P34" s="170"/>
      <c r="Q34" s="170"/>
      <c r="R34" s="170"/>
      <c r="S34" s="170"/>
      <c r="T34" s="170"/>
      <c r="U34" s="170"/>
      <c r="V34" s="170"/>
      <c r="W34" s="170"/>
      <c r="X34" s="170"/>
      <c r="Y34" s="170"/>
      <c r="Z34" s="170"/>
    </row>
    <row r="35" ht="29.25" customHeight="1">
      <c r="A35" s="232" t="s">
        <v>246</v>
      </c>
      <c r="B35" s="211"/>
      <c r="C35" s="211"/>
      <c r="D35" s="91"/>
      <c r="E35" s="263" t="s">
        <v>24</v>
      </c>
      <c r="F35" s="48"/>
      <c r="G35" s="170"/>
      <c r="H35" s="170"/>
      <c r="I35" s="170"/>
      <c r="J35" s="170"/>
      <c r="K35" s="170"/>
      <c r="L35" s="170"/>
      <c r="M35" s="170"/>
      <c r="N35" s="170"/>
      <c r="O35" s="170"/>
      <c r="P35" s="170"/>
      <c r="Q35" s="170"/>
      <c r="R35" s="170"/>
      <c r="S35" s="170"/>
      <c r="T35" s="170"/>
      <c r="U35" s="170"/>
      <c r="V35" s="170"/>
      <c r="W35" s="170"/>
      <c r="X35" s="170"/>
      <c r="Y35" s="170"/>
      <c r="Z35" s="170"/>
    </row>
    <row r="36" ht="31.5" customHeight="1">
      <c r="A36" s="264" t="s">
        <v>176</v>
      </c>
      <c r="B36" s="265" t="s">
        <v>26</v>
      </c>
      <c r="C36" s="265" t="s">
        <v>119</v>
      </c>
      <c r="D36" s="235" t="s">
        <v>220</v>
      </c>
      <c r="E36" s="266" t="s">
        <v>28</v>
      </c>
      <c r="F36" s="48"/>
      <c r="G36" s="170"/>
      <c r="H36" s="170"/>
      <c r="I36" s="170"/>
      <c r="J36" s="170"/>
      <c r="K36" s="170"/>
      <c r="L36" s="170"/>
      <c r="M36" s="170"/>
      <c r="N36" s="170"/>
      <c r="O36" s="170"/>
      <c r="P36" s="170"/>
      <c r="Q36" s="170"/>
      <c r="R36" s="170"/>
      <c r="S36" s="170"/>
      <c r="T36" s="170"/>
      <c r="U36" s="170"/>
      <c r="V36" s="170"/>
      <c r="W36" s="170"/>
      <c r="X36" s="170"/>
      <c r="Y36" s="170"/>
      <c r="Z36" s="170"/>
    </row>
    <row r="37">
      <c r="A37" s="249" t="s">
        <v>238</v>
      </c>
      <c r="B37" s="267" t="s">
        <v>239</v>
      </c>
      <c r="C37" s="268">
        <f t="shared" ref="C37:C44" si="2">29.6*$B$8</f>
        <v>562.4</v>
      </c>
      <c r="D37" s="270" t="s">
        <v>244</v>
      </c>
      <c r="E37" s="244"/>
      <c r="F37" s="48"/>
      <c r="G37" s="170"/>
      <c r="H37" s="170"/>
      <c r="I37" s="170"/>
      <c r="J37" s="170"/>
      <c r="K37" s="170"/>
      <c r="L37" s="170"/>
      <c r="M37" s="170"/>
      <c r="N37" s="170"/>
      <c r="O37" s="170"/>
      <c r="P37" s="170"/>
      <c r="Q37" s="170"/>
      <c r="R37" s="170"/>
      <c r="S37" s="170"/>
      <c r="T37" s="170"/>
      <c r="U37" s="170"/>
      <c r="V37" s="170"/>
      <c r="W37" s="170"/>
      <c r="X37" s="170"/>
      <c r="Y37" s="170"/>
      <c r="Z37" s="170"/>
    </row>
    <row r="38">
      <c r="A38" s="249" t="s">
        <v>256</v>
      </c>
      <c r="B38" s="251" t="s">
        <v>226</v>
      </c>
      <c r="C38" s="268">
        <f t="shared" si="2"/>
        <v>562.4</v>
      </c>
      <c r="D38" s="270" t="s">
        <v>244</v>
      </c>
      <c r="E38" s="179"/>
      <c r="F38" s="48"/>
    </row>
    <row r="39">
      <c r="A39" s="163" t="s">
        <v>80</v>
      </c>
      <c r="B39" s="255" t="s">
        <v>81</v>
      </c>
      <c r="C39" s="268">
        <f t="shared" si="2"/>
        <v>562.4</v>
      </c>
      <c r="D39" s="270" t="s">
        <v>244</v>
      </c>
      <c r="E39" s="254"/>
      <c r="F39" s="48"/>
    </row>
    <row r="40">
      <c r="A40" s="163" t="s">
        <v>59</v>
      </c>
      <c r="B40" s="255" t="s">
        <v>60</v>
      </c>
      <c r="C40" s="268">
        <f t="shared" si="2"/>
        <v>562.4</v>
      </c>
      <c r="D40" s="270" t="s">
        <v>244</v>
      </c>
      <c r="E40" s="179"/>
      <c r="F40" s="48"/>
    </row>
    <row r="41">
      <c r="A41" s="163" t="s">
        <v>257</v>
      </c>
      <c r="B41" s="255" t="s">
        <v>258</v>
      </c>
      <c r="C41" s="268">
        <f t="shared" si="2"/>
        <v>562.4</v>
      </c>
      <c r="D41" s="280" t="s">
        <v>244</v>
      </c>
      <c r="E41" s="253"/>
      <c r="F41" s="91"/>
      <c r="G41" s="170"/>
      <c r="H41" s="170"/>
      <c r="I41" s="170"/>
      <c r="J41" s="170"/>
      <c r="K41" s="170"/>
      <c r="L41" s="170"/>
      <c r="M41" s="170"/>
      <c r="N41" s="170"/>
      <c r="O41" s="170"/>
      <c r="P41" s="170"/>
      <c r="Q41" s="170"/>
      <c r="R41" s="170"/>
      <c r="S41" s="170"/>
      <c r="T41" s="170"/>
      <c r="U41" s="170"/>
      <c r="V41" s="170"/>
      <c r="W41" s="170"/>
      <c r="X41" s="170"/>
      <c r="Y41" s="170"/>
      <c r="Z41" s="170"/>
    </row>
    <row r="42">
      <c r="A42" s="163" t="s">
        <v>134</v>
      </c>
      <c r="B42" s="255" t="s">
        <v>236</v>
      </c>
      <c r="C42" s="268">
        <f t="shared" si="2"/>
        <v>562.4</v>
      </c>
      <c r="D42" s="270" t="s">
        <v>244</v>
      </c>
      <c r="E42" s="179"/>
      <c r="F42" s="48"/>
    </row>
    <row r="43">
      <c r="A43" s="249" t="s">
        <v>241</v>
      </c>
      <c r="B43" s="251" t="s">
        <v>242</v>
      </c>
      <c r="C43" s="268">
        <f t="shared" si="2"/>
        <v>562.4</v>
      </c>
      <c r="D43" s="270" t="s">
        <v>244</v>
      </c>
      <c r="E43" s="253"/>
      <c r="F43" s="91"/>
    </row>
    <row r="44">
      <c r="A44" s="163" t="s">
        <v>195</v>
      </c>
      <c r="B44" s="255" t="s">
        <v>237</v>
      </c>
      <c r="C44" s="268">
        <f t="shared" si="2"/>
        <v>562.4</v>
      </c>
      <c r="D44" s="270" t="s">
        <v>244</v>
      </c>
      <c r="E44" s="253"/>
      <c r="F44" s="91"/>
    </row>
    <row r="45">
      <c r="A45" s="256" t="s">
        <v>214</v>
      </c>
      <c r="B45" s="91"/>
      <c r="C45" s="257">
        <f>SUM(C37:C44)</f>
        <v>4499.2</v>
      </c>
      <c r="D45" s="218"/>
      <c r="E45" s="258"/>
      <c r="F45" s="91"/>
    </row>
  </sheetData>
  <mergeCells count="45">
    <mergeCell ref="A1:D1"/>
    <mergeCell ref="B2:D2"/>
    <mergeCell ref="B3:D3"/>
    <mergeCell ref="B4:D4"/>
    <mergeCell ref="A7:F7"/>
    <mergeCell ref="A9:D9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30:F30"/>
    <mergeCell ref="E31:F31"/>
    <mergeCell ref="A32:Z32"/>
    <mergeCell ref="E24:F24"/>
    <mergeCell ref="E25:F25"/>
    <mergeCell ref="E26:F26"/>
    <mergeCell ref="E27:F27"/>
    <mergeCell ref="E28:F28"/>
    <mergeCell ref="A29:B29"/>
    <mergeCell ref="E29:F29"/>
    <mergeCell ref="E40:F40"/>
    <mergeCell ref="E41:F41"/>
    <mergeCell ref="E42:F42"/>
    <mergeCell ref="E43:F43"/>
    <mergeCell ref="E44:F44"/>
    <mergeCell ref="A45:B45"/>
    <mergeCell ref="E45:F45"/>
    <mergeCell ref="A33:F33"/>
    <mergeCell ref="A35:D35"/>
    <mergeCell ref="E35:F35"/>
    <mergeCell ref="E36:F36"/>
    <mergeCell ref="E37:F37"/>
    <mergeCell ref="E38:F38"/>
    <mergeCell ref="E39:F39"/>
  </mergeCells>
  <printOptions gridLines="1" horizontalCentered="1"/>
  <pageMargins bottom="0.75" footer="0.0" header="0.0" left="0.25" right="0.25" top="0.75"/>
  <pageSetup paperSize="9" cellComments="atEnd" orientation="portrait" pageOrder="overThenDown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27.63"/>
    <col customWidth="1" min="2" max="2" width="14.25"/>
    <col customWidth="1" min="3" max="3" width="10.63"/>
    <col customWidth="1" min="4" max="4" width="12.13"/>
    <col customWidth="1" min="5" max="5" width="51.25"/>
    <col customWidth="1" min="6" max="6" width="0.5"/>
  </cols>
  <sheetData>
    <row r="1" ht="41.25" customHeight="1">
      <c r="A1" s="203" t="s">
        <v>3</v>
      </c>
      <c r="D1" s="15"/>
    </row>
    <row r="2" ht="30.75" customHeight="1">
      <c r="A2" s="206" t="s">
        <v>210</v>
      </c>
      <c r="B2" s="209">
        <f>C28</f>
        <v>10419.2</v>
      </c>
      <c r="C2" s="211"/>
      <c r="D2" s="91"/>
    </row>
    <row r="3" ht="30.0" customHeight="1">
      <c r="A3" s="206" t="s">
        <v>214</v>
      </c>
      <c r="B3" s="213">
        <f>C43</f>
        <v>4173.6</v>
      </c>
      <c r="C3" s="211"/>
      <c r="D3" s="91"/>
    </row>
    <row r="4" ht="33.75" customHeight="1">
      <c r="A4" s="214" t="s">
        <v>217</v>
      </c>
      <c r="B4" s="219">
        <f>B2+B3</f>
        <v>14592.8</v>
      </c>
      <c r="C4" s="211"/>
      <c r="D4" s="91"/>
    </row>
    <row r="5">
      <c r="A5" s="186"/>
      <c r="B5" s="221"/>
      <c r="C5" s="221"/>
      <c r="D5" s="221"/>
      <c r="E5" s="39"/>
      <c r="F5" s="5"/>
    </row>
    <row r="6">
      <c r="A6" s="186"/>
      <c r="B6" s="221"/>
      <c r="C6" s="221"/>
      <c r="D6" s="221"/>
      <c r="E6" s="39"/>
      <c r="F6" s="5"/>
    </row>
    <row r="7">
      <c r="A7" s="225" t="s">
        <v>198</v>
      </c>
      <c r="B7" s="211"/>
      <c r="C7" s="211"/>
      <c r="D7" s="211"/>
      <c r="E7" s="211"/>
      <c r="F7" s="91"/>
    </row>
    <row r="8" ht="24.0" customHeight="1">
      <c r="A8" s="227">
        <v>29.6</v>
      </c>
      <c r="B8" s="228">
        <v>22.0</v>
      </c>
      <c r="C8" s="229" t="s">
        <v>21</v>
      </c>
      <c r="D8" s="230" t="s">
        <v>117</v>
      </c>
      <c r="E8" s="5"/>
      <c r="F8" s="5"/>
    </row>
    <row r="9" ht="31.5" customHeight="1">
      <c r="A9" s="232" t="s">
        <v>247</v>
      </c>
      <c r="B9" s="211"/>
      <c r="C9" s="211"/>
      <c r="D9" s="91"/>
      <c r="E9" s="47" t="s">
        <v>24</v>
      </c>
      <c r="F9" s="48"/>
    </row>
    <row r="10" ht="24.75" customHeight="1">
      <c r="A10" s="49" t="s">
        <v>176</v>
      </c>
      <c r="B10" s="50" t="s">
        <v>26</v>
      </c>
      <c r="C10" s="50" t="s">
        <v>119</v>
      </c>
      <c r="D10" s="235" t="s">
        <v>220</v>
      </c>
      <c r="E10" s="54" t="s">
        <v>28</v>
      </c>
      <c r="F10" s="48"/>
    </row>
    <row r="11">
      <c r="A11" s="133" t="s">
        <v>33</v>
      </c>
      <c r="B11" s="134" t="s">
        <v>34</v>
      </c>
      <c r="C11" s="135">
        <f t="shared" ref="C11:C26" si="1">29.6*$B$8</f>
        <v>651.2</v>
      </c>
      <c r="D11" s="239" t="s">
        <v>244</v>
      </c>
      <c r="E11" s="240"/>
      <c r="F11" s="48"/>
    </row>
    <row r="12">
      <c r="A12" s="133" t="s">
        <v>35</v>
      </c>
      <c r="B12" s="134" t="s">
        <v>36</v>
      </c>
      <c r="C12" s="135">
        <f t="shared" si="1"/>
        <v>651.2</v>
      </c>
      <c r="D12" s="239" t="s">
        <v>244</v>
      </c>
      <c r="E12" s="205"/>
      <c r="F12" s="48"/>
    </row>
    <row r="13">
      <c r="A13" s="133" t="s">
        <v>55</v>
      </c>
      <c r="B13" s="134" t="s">
        <v>56</v>
      </c>
      <c r="C13" s="135">
        <f t="shared" si="1"/>
        <v>651.2</v>
      </c>
      <c r="D13" s="239" t="s">
        <v>244</v>
      </c>
      <c r="E13" s="137"/>
      <c r="F13" s="48"/>
    </row>
    <row r="14">
      <c r="A14" s="138" t="s">
        <v>139</v>
      </c>
      <c r="B14" s="189" t="s">
        <v>140</v>
      </c>
      <c r="C14" s="135">
        <f t="shared" si="1"/>
        <v>651.2</v>
      </c>
      <c r="D14" s="239" t="s">
        <v>244</v>
      </c>
      <c r="E14" s="205"/>
      <c r="F14" s="48"/>
    </row>
    <row r="15">
      <c r="A15" s="142" t="s">
        <v>147</v>
      </c>
      <c r="B15" s="143" t="s">
        <v>148</v>
      </c>
      <c r="C15" s="135">
        <f t="shared" si="1"/>
        <v>651.2</v>
      </c>
      <c r="D15" s="239" t="s">
        <v>244</v>
      </c>
      <c r="E15" s="137"/>
      <c r="F15" s="48"/>
    </row>
    <row r="16">
      <c r="A16" s="133" t="s">
        <v>61</v>
      </c>
      <c r="B16" s="134" t="s">
        <v>62</v>
      </c>
      <c r="C16" s="135">
        <f t="shared" si="1"/>
        <v>651.2</v>
      </c>
      <c r="D16" s="239" t="s">
        <v>244</v>
      </c>
      <c r="E16" s="137"/>
      <c r="F16" s="48"/>
    </row>
    <row r="17">
      <c r="A17" s="190" t="s">
        <v>164</v>
      </c>
      <c r="B17" s="191" t="s">
        <v>165</v>
      </c>
      <c r="C17" s="166">
        <f t="shared" si="1"/>
        <v>651.2</v>
      </c>
      <c r="D17" s="239" t="s">
        <v>244</v>
      </c>
      <c r="E17" s="137"/>
      <c r="F17" s="48"/>
      <c r="J17" s="275" t="s">
        <v>169</v>
      </c>
    </row>
    <row r="18">
      <c r="A18" s="193" t="s">
        <v>114</v>
      </c>
      <c r="B18" s="194" t="s">
        <v>115</v>
      </c>
      <c r="C18" s="166">
        <f t="shared" si="1"/>
        <v>651.2</v>
      </c>
      <c r="D18" s="239" t="s">
        <v>244</v>
      </c>
      <c r="E18" s="137"/>
      <c r="F18" s="48"/>
    </row>
    <row r="19">
      <c r="A19" s="193" t="s">
        <v>171</v>
      </c>
      <c r="B19" s="196" t="s">
        <v>224</v>
      </c>
      <c r="C19" s="174">
        <f t="shared" si="1"/>
        <v>651.2</v>
      </c>
      <c r="D19" s="239" t="s">
        <v>244</v>
      </c>
      <c r="E19" s="149"/>
      <c r="F19" s="48"/>
    </row>
    <row r="20">
      <c r="A20" s="193" t="s">
        <v>167</v>
      </c>
      <c r="B20" s="196" t="s">
        <v>201</v>
      </c>
      <c r="C20" s="174">
        <f t="shared" si="1"/>
        <v>651.2</v>
      </c>
      <c r="D20" s="239" t="s">
        <v>244</v>
      </c>
      <c r="E20" s="137"/>
      <c r="F20" s="48"/>
    </row>
    <row r="21">
      <c r="A21" s="193" t="s">
        <v>77</v>
      </c>
      <c r="B21" s="194" t="s">
        <v>78</v>
      </c>
      <c r="C21" s="174">
        <f t="shared" si="1"/>
        <v>651.2</v>
      </c>
      <c r="D21" s="239" t="s">
        <v>244</v>
      </c>
      <c r="E21" s="137"/>
      <c r="F21" s="48"/>
    </row>
    <row r="22">
      <c r="A22" s="198" t="s">
        <v>186</v>
      </c>
      <c r="B22" s="196" t="s">
        <v>202</v>
      </c>
      <c r="C22" s="174">
        <f t="shared" si="1"/>
        <v>651.2</v>
      </c>
      <c r="D22" s="239" t="s">
        <v>244</v>
      </c>
      <c r="E22" s="137"/>
      <c r="F22" s="48"/>
    </row>
    <row r="23">
      <c r="A23" s="193" t="s">
        <v>172</v>
      </c>
      <c r="B23" s="196" t="s">
        <v>232</v>
      </c>
      <c r="C23" s="174">
        <f t="shared" si="1"/>
        <v>651.2</v>
      </c>
      <c r="D23" s="239" t="s">
        <v>244</v>
      </c>
      <c r="E23" s="137"/>
      <c r="F23" s="48"/>
    </row>
    <row r="24">
      <c r="A24" s="119" t="s">
        <v>203</v>
      </c>
      <c r="B24" s="199" t="s">
        <v>204</v>
      </c>
      <c r="C24" s="200">
        <f t="shared" si="1"/>
        <v>651.2</v>
      </c>
      <c r="D24" s="239" t="s">
        <v>244</v>
      </c>
      <c r="E24" s="137"/>
      <c r="F24" s="48"/>
    </row>
    <row r="25">
      <c r="A25" s="252" t="s">
        <v>234</v>
      </c>
      <c r="B25" s="202" t="s">
        <v>235</v>
      </c>
      <c r="C25" s="200">
        <f t="shared" si="1"/>
        <v>651.2</v>
      </c>
      <c r="D25" s="239" t="s">
        <v>244</v>
      </c>
      <c r="E25" s="205"/>
      <c r="F25" s="48"/>
    </row>
    <row r="26">
      <c r="A26" s="208" t="s">
        <v>212</v>
      </c>
      <c r="B26" s="210" t="s">
        <v>213</v>
      </c>
      <c r="C26" s="200">
        <f t="shared" si="1"/>
        <v>651.2</v>
      </c>
      <c r="D26" s="239" t="s">
        <v>244</v>
      </c>
      <c r="E26" s="207"/>
      <c r="F26" s="91"/>
    </row>
    <row r="27">
      <c r="A27" s="208"/>
      <c r="B27" s="212"/>
      <c r="C27" s="200"/>
      <c r="D27" s="194"/>
      <c r="E27" s="207"/>
      <c r="F27" s="91"/>
    </row>
    <row r="28">
      <c r="A28" s="256" t="s">
        <v>210</v>
      </c>
      <c r="B28" s="91"/>
      <c r="C28" s="257">
        <f>SUM(C11:C27)</f>
        <v>10419.2</v>
      </c>
      <c r="D28" s="218"/>
      <c r="E28" s="258"/>
      <c r="F28" s="91"/>
      <c r="G28" s="170"/>
      <c r="H28" s="170"/>
      <c r="I28" s="170"/>
      <c r="J28" s="170"/>
      <c r="K28" s="170"/>
      <c r="L28" s="170"/>
      <c r="M28" s="170"/>
      <c r="N28" s="170"/>
      <c r="O28" s="170"/>
      <c r="P28" s="170"/>
      <c r="Q28" s="170"/>
      <c r="R28" s="170"/>
      <c r="S28" s="170"/>
      <c r="T28" s="170"/>
      <c r="U28" s="170"/>
      <c r="V28" s="170"/>
      <c r="W28" s="170"/>
      <c r="X28" s="170"/>
      <c r="Y28" s="170"/>
      <c r="Z28" s="170"/>
    </row>
    <row r="29">
      <c r="A29" s="259"/>
      <c r="B29" s="260"/>
      <c r="C29" s="261"/>
      <c r="D29" s="262"/>
      <c r="E29" s="259"/>
      <c r="G29" s="170"/>
      <c r="H29" s="170"/>
      <c r="I29" s="170"/>
      <c r="J29" s="170"/>
      <c r="K29" s="170"/>
      <c r="L29" s="170"/>
      <c r="M29" s="170"/>
      <c r="N29" s="170"/>
      <c r="O29" s="170"/>
      <c r="P29" s="170"/>
      <c r="Q29" s="170"/>
      <c r="R29" s="170"/>
      <c r="S29" s="170"/>
      <c r="T29" s="170"/>
      <c r="U29" s="170"/>
      <c r="V29" s="170"/>
      <c r="W29" s="170"/>
      <c r="X29" s="170"/>
      <c r="Y29" s="170"/>
      <c r="Z29" s="170"/>
    </row>
    <row r="30">
      <c r="A30" s="259"/>
      <c r="B30" s="260"/>
      <c r="C30" s="261"/>
      <c r="D30" s="262"/>
      <c r="E30" s="262"/>
      <c r="G30" s="170"/>
      <c r="H30" s="170"/>
      <c r="I30" s="170"/>
      <c r="J30" s="170"/>
      <c r="K30" s="170"/>
      <c r="L30" s="170"/>
      <c r="M30" s="170"/>
      <c r="N30" s="170"/>
      <c r="O30" s="170"/>
      <c r="P30" s="170"/>
      <c r="Q30" s="170"/>
      <c r="R30" s="170"/>
      <c r="S30" s="170"/>
      <c r="T30" s="170"/>
      <c r="U30" s="170"/>
      <c r="V30" s="170"/>
      <c r="W30" s="170"/>
      <c r="X30" s="170"/>
      <c r="Y30" s="170"/>
      <c r="Z30" s="170"/>
    </row>
    <row r="31">
      <c r="A31" s="259"/>
    </row>
    <row r="32">
      <c r="A32" s="225" t="s">
        <v>188</v>
      </c>
      <c r="B32" s="211"/>
      <c r="C32" s="211"/>
      <c r="D32" s="211"/>
      <c r="E32" s="211"/>
      <c r="F32" s="91"/>
      <c r="G32" s="170"/>
      <c r="H32" s="170"/>
      <c r="I32" s="170"/>
      <c r="J32" s="170"/>
      <c r="K32" s="170"/>
      <c r="L32" s="170"/>
      <c r="M32" s="170"/>
      <c r="N32" s="170"/>
      <c r="O32" s="170"/>
      <c r="P32" s="170"/>
      <c r="Q32" s="170"/>
      <c r="R32" s="170"/>
      <c r="S32" s="170"/>
      <c r="T32" s="170"/>
      <c r="U32" s="170"/>
      <c r="V32" s="170"/>
      <c r="W32" s="170"/>
      <c r="X32" s="170"/>
      <c r="Y32" s="170"/>
      <c r="Z32" s="170"/>
    </row>
    <row r="33" ht="26.25" customHeight="1">
      <c r="A33" s="227">
        <v>29.6</v>
      </c>
      <c r="B33" s="228">
        <v>22.0</v>
      </c>
      <c r="C33" s="229" t="s">
        <v>21</v>
      </c>
      <c r="D33" s="230" t="s">
        <v>117</v>
      </c>
      <c r="E33" s="5"/>
      <c r="F33" s="5"/>
      <c r="G33" s="170"/>
      <c r="H33" s="170"/>
      <c r="I33" s="170"/>
      <c r="J33" s="170"/>
      <c r="K33" s="170"/>
      <c r="L33" s="170"/>
      <c r="M33" s="170"/>
      <c r="N33" s="170"/>
      <c r="O33" s="170"/>
      <c r="P33" s="170"/>
      <c r="Q33" s="170"/>
      <c r="R33" s="170"/>
      <c r="S33" s="170"/>
      <c r="T33" s="170"/>
      <c r="U33" s="170"/>
      <c r="V33" s="170"/>
      <c r="W33" s="170"/>
      <c r="X33" s="170"/>
      <c r="Y33" s="170"/>
      <c r="Z33" s="170"/>
    </row>
    <row r="34" ht="29.25" customHeight="1">
      <c r="A34" s="232" t="s">
        <v>247</v>
      </c>
      <c r="B34" s="211"/>
      <c r="C34" s="211"/>
      <c r="D34" s="91"/>
      <c r="E34" s="263" t="s">
        <v>24</v>
      </c>
      <c r="F34" s="48"/>
      <c r="G34" s="170"/>
      <c r="H34" s="170"/>
      <c r="I34" s="170"/>
      <c r="J34" s="170"/>
      <c r="K34" s="170"/>
      <c r="L34" s="170"/>
      <c r="M34" s="170"/>
      <c r="N34" s="170"/>
      <c r="O34" s="170"/>
      <c r="P34" s="170"/>
      <c r="Q34" s="170"/>
      <c r="R34" s="170"/>
      <c r="S34" s="170"/>
      <c r="T34" s="170"/>
      <c r="U34" s="170"/>
      <c r="V34" s="170"/>
      <c r="W34" s="170"/>
      <c r="X34" s="170"/>
      <c r="Y34" s="170"/>
      <c r="Z34" s="170"/>
    </row>
    <row r="35" ht="31.5" customHeight="1">
      <c r="A35" s="264" t="s">
        <v>176</v>
      </c>
      <c r="B35" s="265" t="s">
        <v>26</v>
      </c>
      <c r="C35" s="265" t="s">
        <v>119</v>
      </c>
      <c r="D35" s="235" t="s">
        <v>220</v>
      </c>
      <c r="E35" s="266" t="s">
        <v>28</v>
      </c>
      <c r="F35" s="48"/>
      <c r="G35" s="170"/>
      <c r="H35" s="170"/>
      <c r="I35" s="170"/>
      <c r="J35" s="170"/>
      <c r="K35" s="170"/>
      <c r="L35" s="170"/>
      <c r="M35" s="170"/>
      <c r="N35" s="170"/>
      <c r="O35" s="170"/>
      <c r="P35" s="170"/>
      <c r="Q35" s="170"/>
      <c r="R35" s="170"/>
      <c r="S35" s="170"/>
      <c r="T35" s="170"/>
      <c r="U35" s="170"/>
      <c r="V35" s="170"/>
      <c r="W35" s="170"/>
      <c r="X35" s="170"/>
      <c r="Y35" s="170"/>
      <c r="Z35" s="170"/>
    </row>
    <row r="36">
      <c r="A36" s="249" t="s">
        <v>248</v>
      </c>
      <c r="B36" s="267" t="s">
        <v>239</v>
      </c>
      <c r="C36" s="268">
        <f t="shared" ref="C36:C37" si="2">29.6*$B$8</f>
        <v>651.2</v>
      </c>
      <c r="D36" s="270" t="s">
        <v>244</v>
      </c>
      <c r="E36" s="244"/>
      <c r="F36" s="48"/>
      <c r="G36" s="170"/>
      <c r="H36" s="170"/>
      <c r="I36" s="170"/>
      <c r="J36" s="170"/>
      <c r="K36" s="170"/>
      <c r="L36" s="170"/>
      <c r="M36" s="170"/>
      <c r="N36" s="170"/>
      <c r="O36" s="170"/>
      <c r="P36" s="170"/>
      <c r="Q36" s="170"/>
      <c r="R36" s="170"/>
      <c r="S36" s="170"/>
      <c r="T36" s="170"/>
      <c r="U36" s="170"/>
      <c r="V36" s="170"/>
      <c r="W36" s="170"/>
      <c r="X36" s="170"/>
      <c r="Y36" s="170"/>
      <c r="Z36" s="170"/>
    </row>
    <row r="37">
      <c r="A37" s="249" t="s">
        <v>249</v>
      </c>
      <c r="B37" s="251" t="s">
        <v>250</v>
      </c>
      <c r="C37" s="268">
        <f t="shared" si="2"/>
        <v>651.2</v>
      </c>
      <c r="D37" s="270" t="s">
        <v>244</v>
      </c>
      <c r="E37" s="276"/>
      <c r="F37" s="276"/>
    </row>
    <row r="38">
      <c r="A38" s="163" t="s">
        <v>80</v>
      </c>
      <c r="B38" s="255" t="s">
        <v>81</v>
      </c>
      <c r="C38" s="268">
        <f>29.6*9</f>
        <v>266.4</v>
      </c>
      <c r="D38" s="270" t="s">
        <v>244</v>
      </c>
      <c r="E38" s="254" t="s">
        <v>251</v>
      </c>
      <c r="F38" s="48"/>
    </row>
    <row r="39">
      <c r="A39" s="163" t="s">
        <v>59</v>
      </c>
      <c r="B39" s="255" t="s">
        <v>60</v>
      </c>
      <c r="C39" s="268">
        <f t="shared" ref="C39:C42" si="3">29.6*$B$8</f>
        <v>651.2</v>
      </c>
      <c r="D39" s="270" t="s">
        <v>244</v>
      </c>
      <c r="E39" s="179"/>
      <c r="F39" s="48"/>
    </row>
    <row r="40">
      <c r="A40" s="163" t="s">
        <v>134</v>
      </c>
      <c r="B40" s="255" t="s">
        <v>236</v>
      </c>
      <c r="C40" s="268">
        <f t="shared" si="3"/>
        <v>651.2</v>
      </c>
      <c r="D40" s="270" t="s">
        <v>244</v>
      </c>
      <c r="E40" s="179"/>
      <c r="F40" s="48"/>
    </row>
    <row r="41">
      <c r="A41" s="249" t="s">
        <v>241</v>
      </c>
      <c r="B41" s="251" t="s">
        <v>242</v>
      </c>
      <c r="C41" s="268">
        <f t="shared" si="3"/>
        <v>651.2</v>
      </c>
      <c r="D41" s="270" t="s">
        <v>244</v>
      </c>
      <c r="E41" s="253"/>
      <c r="F41" s="91"/>
    </row>
    <row r="42">
      <c r="A42" s="163" t="s">
        <v>195</v>
      </c>
      <c r="B42" s="255" t="s">
        <v>237</v>
      </c>
      <c r="C42" s="268">
        <f t="shared" si="3"/>
        <v>651.2</v>
      </c>
      <c r="D42" s="270" t="s">
        <v>244</v>
      </c>
      <c r="E42" s="253"/>
      <c r="F42" s="91"/>
    </row>
    <row r="43">
      <c r="A43" s="256" t="s">
        <v>214</v>
      </c>
      <c r="B43" s="91"/>
      <c r="C43" s="257">
        <f>SUM(C36:C42)</f>
        <v>4173.6</v>
      </c>
      <c r="D43" s="218"/>
      <c r="E43" s="258"/>
      <c r="F43" s="91"/>
    </row>
  </sheetData>
  <mergeCells count="42">
    <mergeCell ref="A1:D1"/>
    <mergeCell ref="B2:D2"/>
    <mergeCell ref="B3:D3"/>
    <mergeCell ref="B4:D4"/>
    <mergeCell ref="A7:F7"/>
    <mergeCell ref="A9:D9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30:F30"/>
    <mergeCell ref="A31:Z31"/>
    <mergeCell ref="E24:F24"/>
    <mergeCell ref="E25:F25"/>
    <mergeCell ref="E26:F26"/>
    <mergeCell ref="E27:F27"/>
    <mergeCell ref="A28:B28"/>
    <mergeCell ref="E28:F28"/>
    <mergeCell ref="E29:F29"/>
    <mergeCell ref="E40:F40"/>
    <mergeCell ref="E41:F41"/>
    <mergeCell ref="E42:F42"/>
    <mergeCell ref="A43:B43"/>
    <mergeCell ref="E43:F43"/>
    <mergeCell ref="A32:F32"/>
    <mergeCell ref="A34:D34"/>
    <mergeCell ref="E34:F34"/>
    <mergeCell ref="E35:F35"/>
    <mergeCell ref="E36:F36"/>
    <mergeCell ref="E38:F38"/>
    <mergeCell ref="E39:F39"/>
  </mergeCells>
  <printOptions gridLines="1" horizontalCentered="1"/>
  <pageMargins bottom="0.75" footer="0.0" header="0.0" left="0.25" right="0.25" top="0.75"/>
  <pageSetup paperSize="9" cellComments="atEnd" orientation="landscape" pageOrder="overThenDown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27.63"/>
    <col customWidth="1" min="2" max="2" width="14.25"/>
    <col customWidth="1" min="3" max="3" width="10.63"/>
    <col customWidth="1" min="4" max="5" width="12.13"/>
    <col customWidth="1" min="6" max="6" width="45.0"/>
    <col customWidth="1" min="7" max="7" width="3.75"/>
  </cols>
  <sheetData>
    <row r="1" ht="41.25" customHeight="1">
      <c r="A1" s="203" t="s">
        <v>3</v>
      </c>
      <c r="D1" s="15"/>
      <c r="E1" s="203"/>
    </row>
    <row r="2" ht="30.75" customHeight="1">
      <c r="A2" s="206" t="s">
        <v>210</v>
      </c>
      <c r="B2" s="209">
        <f>C27</f>
        <v>7844</v>
      </c>
      <c r="C2" s="211"/>
      <c r="D2" s="91"/>
      <c r="E2" s="271"/>
    </row>
    <row r="3" ht="30.0" customHeight="1">
      <c r="A3" s="206" t="s">
        <v>214</v>
      </c>
      <c r="B3" s="213">
        <f>C41</f>
        <v>3552</v>
      </c>
      <c r="C3" s="211"/>
      <c r="D3" s="91"/>
      <c r="E3" s="272"/>
    </row>
    <row r="4" ht="33.75" customHeight="1">
      <c r="A4" s="214" t="s">
        <v>217</v>
      </c>
      <c r="B4" s="219">
        <f>B2+B3</f>
        <v>11396</v>
      </c>
      <c r="C4" s="211"/>
      <c r="D4" s="91"/>
      <c r="E4" s="273"/>
    </row>
    <row r="5">
      <c r="A5" s="186"/>
      <c r="B5" s="221"/>
      <c r="C5" s="221"/>
      <c r="D5" s="221"/>
      <c r="E5" s="221"/>
      <c r="F5" s="39"/>
      <c r="G5" s="5"/>
    </row>
    <row r="6">
      <c r="A6" s="274"/>
      <c r="B6" s="221"/>
      <c r="C6" s="221"/>
      <c r="D6" s="221"/>
      <c r="E6" s="221"/>
      <c r="F6" s="39"/>
      <c r="G6" s="5"/>
    </row>
    <row r="7">
      <c r="A7" s="225" t="s">
        <v>198</v>
      </c>
      <c r="B7" s="211"/>
      <c r="C7" s="211"/>
      <c r="D7" s="211"/>
      <c r="E7" s="211"/>
      <c r="F7" s="211"/>
      <c r="G7" s="91"/>
    </row>
    <row r="8" ht="24.0" customHeight="1">
      <c r="A8" s="227">
        <v>29.6</v>
      </c>
      <c r="B8" s="228">
        <v>20.0</v>
      </c>
      <c r="C8" s="229" t="s">
        <v>21</v>
      </c>
      <c r="D8" s="230" t="s">
        <v>117</v>
      </c>
      <c r="E8" s="230"/>
      <c r="F8" s="5"/>
      <c r="G8" s="5"/>
    </row>
    <row r="9" ht="31.5" customHeight="1">
      <c r="A9" s="232" t="s">
        <v>252</v>
      </c>
      <c r="B9" s="211"/>
      <c r="C9" s="211"/>
      <c r="D9" s="91"/>
      <c r="E9" s="277"/>
      <c r="F9" s="47" t="s">
        <v>24</v>
      </c>
      <c r="G9" s="48"/>
    </row>
    <row r="10" ht="24.75" customHeight="1">
      <c r="A10" s="49" t="s">
        <v>176</v>
      </c>
      <c r="B10" s="50" t="s">
        <v>26</v>
      </c>
      <c r="C10" s="50" t="s">
        <v>119</v>
      </c>
      <c r="D10" s="235" t="s">
        <v>220</v>
      </c>
      <c r="E10" s="278" t="s">
        <v>253</v>
      </c>
      <c r="F10" s="54" t="s">
        <v>28</v>
      </c>
      <c r="G10" s="48"/>
    </row>
    <row r="11">
      <c r="A11" s="133" t="s">
        <v>33</v>
      </c>
      <c r="B11" s="134" t="s">
        <v>34</v>
      </c>
      <c r="C11" s="135">
        <f t="shared" ref="C11:C12" si="1">29.6*$B$8</f>
        <v>592</v>
      </c>
      <c r="D11" s="239" t="s">
        <v>244</v>
      </c>
      <c r="E11" s="279">
        <v>5.393606000158E12</v>
      </c>
      <c r="F11" s="240"/>
      <c r="G11" s="48"/>
    </row>
    <row r="12">
      <c r="A12" s="133" t="s">
        <v>35</v>
      </c>
      <c r="B12" s="134" t="s">
        <v>36</v>
      </c>
      <c r="C12" s="135">
        <f t="shared" si="1"/>
        <v>592</v>
      </c>
      <c r="D12" s="239" t="s">
        <v>244</v>
      </c>
      <c r="E12" s="279">
        <v>5.393606000158E12</v>
      </c>
      <c r="F12" s="205"/>
      <c r="G12" s="48"/>
    </row>
    <row r="13">
      <c r="A13" s="133" t="s">
        <v>55</v>
      </c>
      <c r="B13" s="134" t="s">
        <v>56</v>
      </c>
      <c r="C13" s="135">
        <v>0.0</v>
      </c>
      <c r="D13" s="239" t="s">
        <v>244</v>
      </c>
      <c r="E13" s="279">
        <v>5.393606000158E12</v>
      </c>
      <c r="F13" s="137" t="s">
        <v>254</v>
      </c>
      <c r="G13" s="48"/>
    </row>
    <row r="14">
      <c r="A14" s="142" t="s">
        <v>147</v>
      </c>
      <c r="B14" s="143" t="s">
        <v>148</v>
      </c>
      <c r="C14" s="135">
        <f>29.6*$B$8</f>
        <v>592</v>
      </c>
      <c r="D14" s="239" t="s">
        <v>244</v>
      </c>
      <c r="E14" s="279">
        <v>5.393606000158E12</v>
      </c>
      <c r="F14" s="137"/>
      <c r="G14" s="48"/>
    </row>
    <row r="15">
      <c r="A15" s="133" t="s">
        <v>61</v>
      </c>
      <c r="B15" s="134" t="s">
        <v>62</v>
      </c>
      <c r="C15" s="135">
        <v>148.0</v>
      </c>
      <c r="D15" s="239" t="s">
        <v>244</v>
      </c>
      <c r="E15" s="279">
        <v>5.393606000158E12</v>
      </c>
      <c r="F15" s="137" t="s">
        <v>255</v>
      </c>
      <c r="G15" s="48"/>
      <c r="H15" s="275">
        <v>5.0</v>
      </c>
      <c r="I15" s="103">
        <f>A8*H15</f>
        <v>148</v>
      </c>
    </row>
    <row r="16">
      <c r="A16" s="190" t="s">
        <v>164</v>
      </c>
      <c r="B16" s="191" t="s">
        <v>165</v>
      </c>
      <c r="C16" s="166">
        <f t="shared" ref="C16:C25" si="2">29.6*$B$8</f>
        <v>592</v>
      </c>
      <c r="D16" s="239" t="s">
        <v>244</v>
      </c>
      <c r="E16" s="279">
        <v>5.393606000158E12</v>
      </c>
      <c r="F16" s="137"/>
      <c r="G16" s="48"/>
    </row>
    <row r="17">
      <c r="A17" s="193" t="s">
        <v>114</v>
      </c>
      <c r="B17" s="194" t="s">
        <v>115</v>
      </c>
      <c r="C17" s="166">
        <f t="shared" si="2"/>
        <v>592</v>
      </c>
      <c r="D17" s="239" t="s">
        <v>244</v>
      </c>
      <c r="E17" s="279">
        <v>5.393606000158E12</v>
      </c>
      <c r="F17" s="137"/>
      <c r="G17" s="48"/>
    </row>
    <row r="18">
      <c r="A18" s="193" t="s">
        <v>171</v>
      </c>
      <c r="B18" s="196" t="s">
        <v>224</v>
      </c>
      <c r="C18" s="174">
        <f t="shared" si="2"/>
        <v>592</v>
      </c>
      <c r="D18" s="239" t="s">
        <v>244</v>
      </c>
      <c r="E18" s="279">
        <v>5.393606000158E12</v>
      </c>
      <c r="F18" s="149"/>
      <c r="G18" s="48"/>
    </row>
    <row r="19">
      <c r="A19" s="193" t="s">
        <v>167</v>
      </c>
      <c r="B19" s="196" t="s">
        <v>201</v>
      </c>
      <c r="C19" s="174">
        <f t="shared" si="2"/>
        <v>592</v>
      </c>
      <c r="D19" s="239" t="s">
        <v>244</v>
      </c>
      <c r="E19" s="279">
        <v>5.393606000158E12</v>
      </c>
      <c r="F19" s="137"/>
      <c r="G19" s="48"/>
    </row>
    <row r="20">
      <c r="A20" s="193" t="s">
        <v>77</v>
      </c>
      <c r="B20" s="194" t="s">
        <v>78</v>
      </c>
      <c r="C20" s="174">
        <f t="shared" si="2"/>
        <v>592</v>
      </c>
      <c r="D20" s="239" t="s">
        <v>244</v>
      </c>
      <c r="E20" s="279">
        <v>5.393606000158E12</v>
      </c>
      <c r="F20" s="137"/>
      <c r="G20" s="48"/>
    </row>
    <row r="21">
      <c r="A21" s="198" t="s">
        <v>186</v>
      </c>
      <c r="B21" s="196" t="s">
        <v>202</v>
      </c>
      <c r="C21" s="174">
        <f t="shared" si="2"/>
        <v>592</v>
      </c>
      <c r="D21" s="239" t="s">
        <v>244</v>
      </c>
      <c r="E21" s="279">
        <v>5.393606000158E12</v>
      </c>
      <c r="F21" s="137"/>
      <c r="G21" s="48"/>
    </row>
    <row r="22">
      <c r="A22" s="193" t="s">
        <v>172</v>
      </c>
      <c r="B22" s="196" t="s">
        <v>232</v>
      </c>
      <c r="C22" s="174">
        <f t="shared" si="2"/>
        <v>592</v>
      </c>
      <c r="D22" s="239" t="s">
        <v>244</v>
      </c>
      <c r="E22" s="279">
        <v>5.393606000158E12</v>
      </c>
      <c r="F22" s="137"/>
      <c r="G22" s="48"/>
    </row>
    <row r="23">
      <c r="A23" s="119" t="s">
        <v>203</v>
      </c>
      <c r="B23" s="199" t="s">
        <v>204</v>
      </c>
      <c r="C23" s="200">
        <f t="shared" si="2"/>
        <v>592</v>
      </c>
      <c r="D23" s="239" t="s">
        <v>244</v>
      </c>
      <c r="E23" s="279">
        <v>5.393606000158E12</v>
      </c>
      <c r="F23" s="137"/>
      <c r="G23" s="48"/>
    </row>
    <row r="24">
      <c r="A24" s="252" t="s">
        <v>234</v>
      </c>
      <c r="B24" s="202" t="s">
        <v>235</v>
      </c>
      <c r="C24" s="200">
        <f t="shared" si="2"/>
        <v>592</v>
      </c>
      <c r="D24" s="239" t="s">
        <v>244</v>
      </c>
      <c r="E24" s="279">
        <v>5.393606000158E12</v>
      </c>
      <c r="F24" s="205"/>
      <c r="G24" s="48"/>
    </row>
    <row r="25">
      <c r="A25" s="208" t="s">
        <v>212</v>
      </c>
      <c r="B25" s="210" t="s">
        <v>213</v>
      </c>
      <c r="C25" s="200">
        <f t="shared" si="2"/>
        <v>592</v>
      </c>
      <c r="D25" s="239" t="s">
        <v>244</v>
      </c>
      <c r="E25" s="279">
        <v>5.393606000158E12</v>
      </c>
      <c r="F25" s="207"/>
      <c r="G25" s="91"/>
    </row>
    <row r="26">
      <c r="A26" s="208"/>
      <c r="B26" s="212"/>
      <c r="C26" s="200"/>
      <c r="D26" s="194"/>
      <c r="E26" s="194"/>
      <c r="F26" s="207"/>
      <c r="G26" s="91"/>
    </row>
    <row r="27">
      <c r="A27" s="256" t="s">
        <v>210</v>
      </c>
      <c r="B27" s="91"/>
      <c r="C27" s="257">
        <f>SUM(C11:C26)</f>
        <v>7844</v>
      </c>
      <c r="D27" s="218"/>
      <c r="E27" s="218"/>
      <c r="F27" s="258"/>
      <c r="G27" s="91"/>
      <c r="H27" s="170"/>
      <c r="I27" s="170"/>
      <c r="J27" s="170"/>
      <c r="K27" s="170"/>
      <c r="L27" s="170"/>
      <c r="M27" s="170"/>
      <c r="N27" s="170"/>
      <c r="O27" s="170"/>
      <c r="P27" s="170"/>
      <c r="Q27" s="170"/>
      <c r="R27" s="170"/>
      <c r="S27" s="170"/>
      <c r="T27" s="170"/>
      <c r="U27" s="170"/>
      <c r="V27" s="170"/>
      <c r="W27" s="170"/>
      <c r="X27" s="170"/>
      <c r="Y27" s="170"/>
      <c r="Z27" s="170"/>
      <c r="AA27" s="170"/>
    </row>
    <row r="28">
      <c r="A28" s="259"/>
      <c r="B28" s="260"/>
      <c r="C28" s="261"/>
      <c r="D28" s="262"/>
      <c r="E28" s="262"/>
      <c r="F28" s="259"/>
      <c r="H28" s="170"/>
      <c r="I28" s="170"/>
      <c r="J28" s="170"/>
      <c r="K28" s="170"/>
      <c r="L28" s="170"/>
      <c r="M28" s="170"/>
      <c r="N28" s="170"/>
      <c r="O28" s="170"/>
      <c r="P28" s="170"/>
      <c r="Q28" s="170"/>
      <c r="R28" s="170"/>
      <c r="S28" s="170"/>
      <c r="T28" s="170"/>
      <c r="U28" s="170"/>
      <c r="V28" s="170"/>
      <c r="W28" s="170"/>
      <c r="X28" s="170"/>
      <c r="Y28" s="170"/>
      <c r="Z28" s="170"/>
      <c r="AA28" s="170"/>
    </row>
    <row r="29">
      <c r="A29" s="259"/>
      <c r="B29" s="260"/>
      <c r="C29" s="261"/>
      <c r="D29" s="262"/>
      <c r="E29" s="262"/>
      <c r="F29" s="262"/>
      <c r="H29" s="170"/>
      <c r="I29" s="170"/>
      <c r="J29" s="170"/>
      <c r="K29" s="170"/>
      <c r="L29" s="170"/>
      <c r="M29" s="170"/>
      <c r="N29" s="170"/>
      <c r="O29" s="170"/>
      <c r="P29" s="170"/>
      <c r="Q29" s="170"/>
      <c r="R29" s="170"/>
      <c r="S29" s="170"/>
      <c r="T29" s="170"/>
      <c r="U29" s="170"/>
      <c r="V29" s="170"/>
      <c r="W29" s="170"/>
      <c r="X29" s="170"/>
      <c r="Y29" s="170"/>
      <c r="Z29" s="170"/>
      <c r="AA29" s="170"/>
    </row>
    <row r="30">
      <c r="A30" s="259"/>
    </row>
    <row r="31">
      <c r="A31" s="225" t="s">
        <v>188</v>
      </c>
      <c r="B31" s="211"/>
      <c r="C31" s="211"/>
      <c r="D31" s="211"/>
      <c r="E31" s="211"/>
      <c r="F31" s="211"/>
      <c r="G31" s="91"/>
      <c r="H31" s="170"/>
      <c r="I31" s="170"/>
      <c r="J31" s="170"/>
      <c r="K31" s="170"/>
      <c r="L31" s="170"/>
      <c r="M31" s="170"/>
      <c r="N31" s="170"/>
      <c r="O31" s="170"/>
      <c r="P31" s="170"/>
      <c r="Q31" s="170"/>
      <c r="R31" s="170"/>
      <c r="S31" s="170"/>
      <c r="T31" s="170"/>
      <c r="U31" s="170"/>
      <c r="V31" s="170"/>
      <c r="W31" s="170"/>
      <c r="X31" s="170"/>
      <c r="Y31" s="170"/>
      <c r="Z31" s="170"/>
      <c r="AA31" s="170"/>
    </row>
    <row r="32" ht="26.25" customHeight="1">
      <c r="A32" s="227">
        <v>29.6</v>
      </c>
      <c r="B32" s="228">
        <f>B8</f>
        <v>20</v>
      </c>
      <c r="C32" s="229" t="s">
        <v>21</v>
      </c>
      <c r="D32" s="230" t="s">
        <v>117</v>
      </c>
      <c r="E32" s="230"/>
      <c r="F32" s="5"/>
      <c r="G32" s="5"/>
      <c r="H32" s="170"/>
      <c r="I32" s="170"/>
      <c r="J32" s="170"/>
      <c r="K32" s="170"/>
      <c r="L32" s="170"/>
      <c r="M32" s="170"/>
      <c r="N32" s="170"/>
      <c r="O32" s="170"/>
      <c r="P32" s="170"/>
      <c r="Q32" s="170"/>
      <c r="R32" s="170"/>
      <c r="S32" s="170"/>
      <c r="T32" s="170"/>
      <c r="U32" s="170"/>
      <c r="V32" s="170"/>
      <c r="W32" s="170"/>
      <c r="X32" s="170"/>
      <c r="Y32" s="170"/>
      <c r="Z32" s="170"/>
      <c r="AA32" s="170"/>
    </row>
    <row r="33" ht="29.25" customHeight="1">
      <c r="A33" s="232" t="s">
        <v>260</v>
      </c>
      <c r="B33" s="211"/>
      <c r="C33" s="211"/>
      <c r="D33" s="91"/>
      <c r="E33" s="277"/>
      <c r="F33" s="263" t="s">
        <v>24</v>
      </c>
      <c r="G33" s="48"/>
      <c r="H33" s="170"/>
      <c r="I33" s="170"/>
      <c r="J33" s="170"/>
      <c r="K33" s="170"/>
      <c r="L33" s="170"/>
      <c r="M33" s="170"/>
      <c r="N33" s="170"/>
      <c r="O33" s="170"/>
      <c r="P33" s="170"/>
      <c r="Q33" s="170"/>
      <c r="R33" s="170"/>
      <c r="S33" s="170"/>
      <c r="T33" s="170"/>
      <c r="U33" s="170"/>
      <c r="V33" s="170"/>
      <c r="W33" s="170"/>
      <c r="X33" s="170"/>
      <c r="Y33" s="170"/>
      <c r="Z33" s="170"/>
      <c r="AA33" s="170"/>
    </row>
    <row r="34" ht="31.5" customHeight="1">
      <c r="A34" s="264" t="s">
        <v>176</v>
      </c>
      <c r="B34" s="265" t="s">
        <v>26</v>
      </c>
      <c r="C34" s="265" t="s">
        <v>119</v>
      </c>
      <c r="D34" s="235" t="s">
        <v>220</v>
      </c>
      <c r="E34" s="278" t="s">
        <v>253</v>
      </c>
      <c r="F34" s="266" t="s">
        <v>28</v>
      </c>
      <c r="G34" s="48"/>
      <c r="H34" s="170"/>
      <c r="I34" s="170"/>
      <c r="J34" s="170"/>
      <c r="K34" s="170"/>
      <c r="L34" s="170"/>
      <c r="M34" s="170"/>
      <c r="N34" s="170"/>
      <c r="O34" s="170"/>
      <c r="P34" s="170"/>
      <c r="Q34" s="170"/>
      <c r="R34" s="170"/>
      <c r="S34" s="170"/>
      <c r="T34" s="170"/>
      <c r="U34" s="170"/>
      <c r="V34" s="170"/>
      <c r="W34" s="170"/>
      <c r="X34" s="170"/>
      <c r="Y34" s="170"/>
      <c r="Z34" s="170"/>
      <c r="AA34" s="170"/>
    </row>
    <row r="35">
      <c r="A35" s="249" t="s">
        <v>248</v>
      </c>
      <c r="B35" s="267" t="s">
        <v>239</v>
      </c>
      <c r="C35" s="268">
        <f t="shared" ref="C35:C40" si="3">29.6*$B$8</f>
        <v>592</v>
      </c>
      <c r="D35" s="270" t="s">
        <v>244</v>
      </c>
      <c r="E35" s="281">
        <v>5.2803025000127E13</v>
      </c>
      <c r="F35" s="244"/>
      <c r="G35" s="48"/>
      <c r="H35" s="170"/>
      <c r="I35" s="170"/>
      <c r="J35" s="170"/>
      <c r="K35" s="170"/>
      <c r="L35" s="170"/>
      <c r="M35" s="170"/>
      <c r="N35" s="170"/>
      <c r="O35" s="170"/>
      <c r="P35" s="170"/>
      <c r="Q35" s="170"/>
      <c r="R35" s="170"/>
      <c r="S35" s="170"/>
      <c r="T35" s="170"/>
      <c r="U35" s="170"/>
      <c r="V35" s="170"/>
      <c r="W35" s="170"/>
      <c r="X35" s="170"/>
      <c r="Y35" s="170"/>
      <c r="Z35" s="170"/>
      <c r="AA35" s="170"/>
    </row>
    <row r="36">
      <c r="A36" s="249" t="s">
        <v>249</v>
      </c>
      <c r="B36" s="251" t="s">
        <v>250</v>
      </c>
      <c r="C36" s="268">
        <f t="shared" si="3"/>
        <v>592</v>
      </c>
      <c r="D36" s="270" t="s">
        <v>244</v>
      </c>
      <c r="E36" s="281">
        <v>5.2803025000127E13</v>
      </c>
      <c r="F36" s="276"/>
      <c r="G36" s="276"/>
    </row>
    <row r="37">
      <c r="A37" s="163" t="s">
        <v>80</v>
      </c>
      <c r="B37" s="255" t="s">
        <v>81</v>
      </c>
      <c r="C37" s="268">
        <f t="shared" si="3"/>
        <v>592</v>
      </c>
      <c r="D37" s="270" t="s">
        <v>244</v>
      </c>
      <c r="E37" s="281">
        <v>5.2803025000127E13</v>
      </c>
      <c r="F37" s="254"/>
      <c r="G37" s="48"/>
    </row>
    <row r="38">
      <c r="A38" s="163" t="s">
        <v>59</v>
      </c>
      <c r="B38" s="255" t="s">
        <v>60</v>
      </c>
      <c r="C38" s="268">
        <f t="shared" si="3"/>
        <v>592</v>
      </c>
      <c r="D38" s="270" t="s">
        <v>244</v>
      </c>
      <c r="E38" s="281">
        <v>5.2803025000127E13</v>
      </c>
      <c r="F38" s="179"/>
      <c r="G38" s="48"/>
    </row>
    <row r="39">
      <c r="A39" s="163" t="s">
        <v>134</v>
      </c>
      <c r="B39" s="255" t="s">
        <v>236</v>
      </c>
      <c r="C39" s="268">
        <f t="shared" si="3"/>
        <v>592</v>
      </c>
      <c r="D39" s="270" t="s">
        <v>244</v>
      </c>
      <c r="E39" s="281">
        <v>5.2803025000127E13</v>
      </c>
      <c r="F39" s="179"/>
      <c r="G39" s="48"/>
    </row>
    <row r="40">
      <c r="A40" s="249" t="s">
        <v>241</v>
      </c>
      <c r="B40" s="251" t="s">
        <v>242</v>
      </c>
      <c r="C40" s="268">
        <f t="shared" si="3"/>
        <v>592</v>
      </c>
      <c r="D40" s="270" t="s">
        <v>244</v>
      </c>
      <c r="E40" s="281">
        <v>5.2803025000127E13</v>
      </c>
      <c r="F40" s="253"/>
      <c r="G40" s="91"/>
    </row>
    <row r="41">
      <c r="A41" s="256" t="s">
        <v>214</v>
      </c>
      <c r="B41" s="91"/>
      <c r="C41" s="257">
        <f>SUM(C35:C40)</f>
        <v>3552</v>
      </c>
      <c r="D41" s="218"/>
      <c r="E41" s="218"/>
      <c r="F41" s="258"/>
      <c r="G41" s="91"/>
    </row>
  </sheetData>
  <mergeCells count="40">
    <mergeCell ref="A1:D1"/>
    <mergeCell ref="B2:D2"/>
    <mergeCell ref="B3:D3"/>
    <mergeCell ref="B4:D4"/>
    <mergeCell ref="A7:G7"/>
    <mergeCell ref="A9:D9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A27:B27"/>
    <mergeCell ref="F27:G27"/>
    <mergeCell ref="F28:G28"/>
    <mergeCell ref="A30:AA30"/>
    <mergeCell ref="F38:G38"/>
    <mergeCell ref="F39:G39"/>
    <mergeCell ref="F40:G40"/>
    <mergeCell ref="A41:B41"/>
    <mergeCell ref="F41:G41"/>
    <mergeCell ref="F29:G29"/>
    <mergeCell ref="A31:G31"/>
    <mergeCell ref="A33:D33"/>
    <mergeCell ref="F33:G33"/>
    <mergeCell ref="F34:G34"/>
    <mergeCell ref="F35:G35"/>
    <mergeCell ref="F37:G37"/>
  </mergeCells>
  <printOptions gridLines="1" horizontalCentered="1"/>
  <pageMargins bottom="0.75" footer="0.0" header="0.0" left="0.25" right="0.25" top="0.75"/>
  <pageSetup paperSize="9" cellComments="atEnd" orientation="landscape" pageOrder="overThenDown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27.63"/>
    <col customWidth="1" min="2" max="2" width="14.25"/>
    <col customWidth="1" min="3" max="3" width="10.63"/>
    <col customWidth="1" min="4" max="4" width="12.13"/>
    <col customWidth="1" min="5" max="5" width="16.5"/>
    <col customWidth="1" min="6" max="6" width="21.25"/>
    <col customWidth="1" min="7" max="7" width="3.75"/>
  </cols>
  <sheetData>
    <row r="1" ht="41.25" customHeight="1">
      <c r="A1" s="203" t="s">
        <v>3</v>
      </c>
      <c r="D1" s="15"/>
      <c r="E1" s="203"/>
    </row>
    <row r="2" ht="30.75" customHeight="1">
      <c r="A2" s="206" t="s">
        <v>210</v>
      </c>
      <c r="B2" s="209">
        <f>C30</f>
        <v>9442.4</v>
      </c>
      <c r="C2" s="211"/>
      <c r="D2" s="91"/>
      <c r="E2" s="271"/>
    </row>
    <row r="3" ht="30.0" customHeight="1">
      <c r="A3" s="206" t="s">
        <v>214</v>
      </c>
      <c r="B3" s="213">
        <f>C46</f>
        <v>3552</v>
      </c>
      <c r="C3" s="211"/>
      <c r="D3" s="91"/>
      <c r="E3" s="272"/>
    </row>
    <row r="4" ht="33.75" customHeight="1">
      <c r="A4" s="214" t="s">
        <v>217</v>
      </c>
      <c r="B4" s="219">
        <f>B2+B3</f>
        <v>12994.4</v>
      </c>
      <c r="C4" s="211"/>
      <c r="D4" s="91"/>
      <c r="E4" s="273"/>
    </row>
    <row r="5">
      <c r="A5" s="186"/>
      <c r="B5" s="221"/>
      <c r="C5" s="221"/>
      <c r="D5" s="221"/>
      <c r="E5" s="221"/>
      <c r="F5" s="39"/>
      <c r="G5" s="5"/>
    </row>
    <row r="6" ht="15.0" customHeight="1">
      <c r="A6" s="274"/>
      <c r="B6" s="221"/>
      <c r="C6" s="221"/>
      <c r="D6" s="221"/>
      <c r="E6" s="221"/>
      <c r="F6" s="39"/>
      <c r="G6" s="5"/>
    </row>
    <row r="7">
      <c r="A7" s="225" t="s">
        <v>198</v>
      </c>
      <c r="B7" s="211"/>
      <c r="C7" s="211"/>
      <c r="D7" s="211"/>
      <c r="E7" s="211"/>
      <c r="F7" s="211"/>
      <c r="G7" s="91"/>
    </row>
    <row r="8" ht="24.0" customHeight="1">
      <c r="A8" s="227">
        <v>29.6</v>
      </c>
      <c r="B8" s="228">
        <v>20.0</v>
      </c>
      <c r="C8" s="229" t="s">
        <v>21</v>
      </c>
      <c r="D8" s="230" t="s">
        <v>117</v>
      </c>
      <c r="E8" s="230"/>
      <c r="F8" s="5"/>
      <c r="G8" s="5"/>
    </row>
    <row r="9" ht="31.5" customHeight="1">
      <c r="A9" s="232" t="s">
        <v>259</v>
      </c>
      <c r="B9" s="211"/>
      <c r="C9" s="211"/>
      <c r="D9" s="91"/>
      <c r="E9" s="277"/>
      <c r="F9" s="47" t="s">
        <v>24</v>
      </c>
      <c r="G9" s="48"/>
    </row>
    <row r="10" ht="24.75" customHeight="1">
      <c r="A10" s="49" t="s">
        <v>176</v>
      </c>
      <c r="B10" s="50" t="s">
        <v>26</v>
      </c>
      <c r="C10" s="50" t="s">
        <v>119</v>
      </c>
      <c r="D10" s="235" t="s">
        <v>220</v>
      </c>
      <c r="E10" s="278" t="s">
        <v>253</v>
      </c>
      <c r="F10" s="54" t="s">
        <v>28</v>
      </c>
      <c r="G10" s="48"/>
    </row>
    <row r="11">
      <c r="A11" s="133" t="s">
        <v>33</v>
      </c>
      <c r="B11" s="134" t="s">
        <v>34</v>
      </c>
      <c r="C11" s="135">
        <f t="shared" ref="C11:C12" si="1">29.6*$B$8</f>
        <v>592</v>
      </c>
      <c r="D11" s="239" t="s">
        <v>244</v>
      </c>
      <c r="E11" s="279">
        <v>5.393606000158E12</v>
      </c>
      <c r="F11" s="240"/>
      <c r="G11" s="48"/>
    </row>
    <row r="12">
      <c r="A12" s="133" t="s">
        <v>35</v>
      </c>
      <c r="B12" s="134" t="s">
        <v>36</v>
      </c>
      <c r="C12" s="135">
        <f t="shared" si="1"/>
        <v>592</v>
      </c>
      <c r="D12" s="239" t="s">
        <v>244</v>
      </c>
      <c r="E12" s="279">
        <v>5.393606000158E12</v>
      </c>
      <c r="F12" s="205"/>
      <c r="G12" s="48"/>
    </row>
    <row r="13">
      <c r="A13" s="133" t="s">
        <v>55</v>
      </c>
      <c r="B13" s="134" t="s">
        <v>56</v>
      </c>
      <c r="C13" s="135">
        <f>29.6*19</f>
        <v>562.4</v>
      </c>
      <c r="D13" s="239" t="s">
        <v>244</v>
      </c>
      <c r="E13" s="279">
        <v>5.393606000158E12</v>
      </c>
      <c r="F13" s="240" t="s">
        <v>261</v>
      </c>
      <c r="G13" s="48"/>
    </row>
    <row r="14">
      <c r="A14" s="142" t="s">
        <v>147</v>
      </c>
      <c r="B14" s="143" t="s">
        <v>148</v>
      </c>
      <c r="C14" s="135">
        <f t="shared" ref="C14:C26" si="2">29.6*$B$8</f>
        <v>592</v>
      </c>
      <c r="D14" s="239" t="s">
        <v>244</v>
      </c>
      <c r="E14" s="279">
        <v>5.393606000158E12</v>
      </c>
      <c r="F14" s="137"/>
      <c r="G14" s="48"/>
    </row>
    <row r="15">
      <c r="A15" s="133" t="s">
        <v>61</v>
      </c>
      <c r="B15" s="134" t="s">
        <v>62</v>
      </c>
      <c r="C15" s="135">
        <f t="shared" si="2"/>
        <v>592</v>
      </c>
      <c r="D15" s="239" t="s">
        <v>244</v>
      </c>
      <c r="E15" s="279">
        <v>5.393606000158E12</v>
      </c>
      <c r="F15" s="137"/>
      <c r="G15" s="48"/>
    </row>
    <row r="16">
      <c r="A16" s="190" t="s">
        <v>164</v>
      </c>
      <c r="B16" s="191" t="s">
        <v>165</v>
      </c>
      <c r="C16" s="135">
        <f t="shared" si="2"/>
        <v>592</v>
      </c>
      <c r="D16" s="239" t="s">
        <v>244</v>
      </c>
      <c r="E16" s="279">
        <v>5.393606000158E12</v>
      </c>
      <c r="F16" s="137"/>
      <c r="G16" s="48"/>
    </row>
    <row r="17">
      <c r="A17" s="193" t="s">
        <v>114</v>
      </c>
      <c r="B17" s="194" t="s">
        <v>115</v>
      </c>
      <c r="C17" s="135">
        <f t="shared" si="2"/>
        <v>592</v>
      </c>
      <c r="D17" s="239" t="s">
        <v>244</v>
      </c>
      <c r="E17" s="279">
        <v>5.393606000158E12</v>
      </c>
      <c r="F17" s="137"/>
      <c r="G17" s="48"/>
    </row>
    <row r="18">
      <c r="A18" s="193" t="s">
        <v>171</v>
      </c>
      <c r="B18" s="196" t="s">
        <v>224</v>
      </c>
      <c r="C18" s="135">
        <f t="shared" si="2"/>
        <v>592</v>
      </c>
      <c r="D18" s="239" t="s">
        <v>244</v>
      </c>
      <c r="E18" s="279">
        <v>5.393606000158E12</v>
      </c>
      <c r="F18" s="149"/>
      <c r="G18" s="48"/>
    </row>
    <row r="19">
      <c r="A19" s="193" t="s">
        <v>167</v>
      </c>
      <c r="B19" s="196" t="s">
        <v>201</v>
      </c>
      <c r="C19" s="135">
        <f t="shared" si="2"/>
        <v>592</v>
      </c>
      <c r="D19" s="239" t="s">
        <v>244</v>
      </c>
      <c r="E19" s="279">
        <v>5.393606000158E12</v>
      </c>
      <c r="F19" s="137"/>
      <c r="G19" s="48"/>
    </row>
    <row r="20">
      <c r="A20" s="193" t="s">
        <v>77</v>
      </c>
      <c r="B20" s="194" t="s">
        <v>78</v>
      </c>
      <c r="C20" s="135">
        <f t="shared" si="2"/>
        <v>592</v>
      </c>
      <c r="D20" s="239" t="s">
        <v>244</v>
      </c>
      <c r="E20" s="279">
        <v>5.393606000158E12</v>
      </c>
      <c r="F20" s="137"/>
      <c r="G20" s="48"/>
    </row>
    <row r="21">
      <c r="A21" s="198" t="s">
        <v>186</v>
      </c>
      <c r="B21" s="196" t="s">
        <v>202</v>
      </c>
      <c r="C21" s="135">
        <f t="shared" si="2"/>
        <v>592</v>
      </c>
      <c r="D21" s="239" t="s">
        <v>244</v>
      </c>
      <c r="E21" s="279">
        <v>5.393606000158E12</v>
      </c>
      <c r="F21" s="137"/>
      <c r="G21" s="48"/>
    </row>
    <row r="22">
      <c r="A22" s="193" t="s">
        <v>172</v>
      </c>
      <c r="B22" s="196" t="s">
        <v>232</v>
      </c>
      <c r="C22" s="135">
        <f t="shared" si="2"/>
        <v>592</v>
      </c>
      <c r="D22" s="239" t="s">
        <v>244</v>
      </c>
      <c r="E22" s="279">
        <v>5.393606000158E12</v>
      </c>
      <c r="F22" s="137"/>
      <c r="G22" s="48"/>
    </row>
    <row r="23">
      <c r="A23" s="119" t="s">
        <v>203</v>
      </c>
      <c r="B23" s="199" t="s">
        <v>204</v>
      </c>
      <c r="C23" s="135">
        <f t="shared" si="2"/>
        <v>592</v>
      </c>
      <c r="D23" s="239" t="s">
        <v>244</v>
      </c>
      <c r="E23" s="279">
        <v>5.393606000158E12</v>
      </c>
      <c r="F23" s="137"/>
      <c r="G23" s="48"/>
    </row>
    <row r="24">
      <c r="A24" s="252" t="s">
        <v>234</v>
      </c>
      <c r="B24" s="202" t="s">
        <v>235</v>
      </c>
      <c r="C24" s="135">
        <f t="shared" si="2"/>
        <v>592</v>
      </c>
      <c r="D24" s="239" t="s">
        <v>244</v>
      </c>
      <c r="E24" s="279">
        <v>5.393606000158E12</v>
      </c>
      <c r="F24" s="205"/>
      <c r="G24" s="48"/>
    </row>
    <row r="25">
      <c r="A25" s="208" t="s">
        <v>212</v>
      </c>
      <c r="B25" s="210" t="s">
        <v>213</v>
      </c>
      <c r="C25" s="135">
        <f t="shared" si="2"/>
        <v>592</v>
      </c>
      <c r="D25" s="239" t="s">
        <v>244</v>
      </c>
      <c r="E25" s="279">
        <v>5.393606000158E12</v>
      </c>
      <c r="F25" s="207"/>
      <c r="G25" s="91"/>
    </row>
    <row r="26">
      <c r="A26" s="208" t="s">
        <v>262</v>
      </c>
      <c r="B26" s="212" t="s">
        <v>263</v>
      </c>
      <c r="C26" s="135">
        <f t="shared" si="2"/>
        <v>592</v>
      </c>
      <c r="D26" s="239" t="s">
        <v>244</v>
      </c>
      <c r="E26" s="279">
        <v>5.393606000158E12</v>
      </c>
      <c r="F26" s="240"/>
      <c r="G26" s="48"/>
    </row>
    <row r="27">
      <c r="A27" s="282" t="s">
        <v>264</v>
      </c>
      <c r="B27" s="212" t="s">
        <v>265</v>
      </c>
      <c r="C27" s="135"/>
      <c r="D27" s="239" t="s">
        <v>244</v>
      </c>
      <c r="E27" s="279">
        <v>5.393606000158E12</v>
      </c>
      <c r="F27" s="240" t="s">
        <v>266</v>
      </c>
      <c r="G27" s="48"/>
    </row>
    <row r="28">
      <c r="A28" s="208"/>
      <c r="B28" s="212"/>
      <c r="C28" s="200"/>
      <c r="D28" s="194"/>
      <c r="E28" s="194"/>
      <c r="F28" s="283"/>
      <c r="G28" s="283"/>
    </row>
    <row r="29">
      <c r="A29" s="208"/>
      <c r="B29" s="212"/>
      <c r="C29" s="200"/>
      <c r="D29" s="194"/>
      <c r="E29" s="194"/>
      <c r="F29" s="283"/>
      <c r="G29" s="283"/>
    </row>
    <row r="30">
      <c r="A30" s="256" t="s">
        <v>210</v>
      </c>
      <c r="B30" s="91"/>
      <c r="C30" s="257">
        <f>SUM(C11:C28)</f>
        <v>9442.4</v>
      </c>
      <c r="D30" s="218"/>
      <c r="E30" s="218"/>
      <c r="F30" s="258"/>
      <c r="G30" s="91"/>
      <c r="H30" s="170"/>
      <c r="I30" s="170"/>
      <c r="J30" s="170"/>
      <c r="K30" s="170"/>
      <c r="L30" s="170"/>
      <c r="M30" s="170"/>
      <c r="N30" s="170"/>
      <c r="O30" s="170"/>
      <c r="P30" s="170"/>
      <c r="Q30" s="170"/>
      <c r="R30" s="170"/>
      <c r="S30" s="170"/>
      <c r="T30" s="170"/>
      <c r="U30" s="170"/>
      <c r="V30" s="170"/>
      <c r="W30" s="170"/>
      <c r="X30" s="170"/>
      <c r="Y30" s="170"/>
      <c r="Z30" s="170"/>
      <c r="AA30" s="170"/>
    </row>
    <row r="31">
      <c r="A31" s="225" t="s">
        <v>188</v>
      </c>
      <c r="B31" s="211"/>
      <c r="C31" s="211"/>
      <c r="D31" s="211"/>
      <c r="E31" s="211"/>
      <c r="F31" s="211"/>
      <c r="G31" s="91"/>
      <c r="H31" s="170"/>
      <c r="I31" s="170"/>
      <c r="J31" s="170"/>
      <c r="K31" s="170"/>
      <c r="L31" s="170"/>
      <c r="M31" s="170"/>
      <c r="N31" s="170"/>
      <c r="O31" s="170"/>
      <c r="P31" s="170"/>
      <c r="Q31" s="170"/>
      <c r="R31" s="170"/>
      <c r="S31" s="170"/>
      <c r="T31" s="170"/>
      <c r="U31" s="170"/>
      <c r="V31" s="170"/>
      <c r="W31" s="170"/>
      <c r="X31" s="170"/>
      <c r="Y31" s="170"/>
      <c r="Z31" s="170"/>
      <c r="AA31" s="170"/>
    </row>
    <row r="32" ht="26.25" customHeight="1">
      <c r="A32" s="227">
        <v>29.6</v>
      </c>
      <c r="B32" s="228">
        <f>B8</f>
        <v>20</v>
      </c>
      <c r="C32" s="229" t="s">
        <v>21</v>
      </c>
      <c r="D32" s="230" t="s">
        <v>117</v>
      </c>
      <c r="E32" s="230"/>
      <c r="F32" s="5"/>
      <c r="G32" s="5"/>
      <c r="H32" s="170"/>
      <c r="I32" s="170"/>
      <c r="J32" s="170"/>
      <c r="K32" s="170"/>
      <c r="L32" s="170"/>
      <c r="M32" s="170"/>
      <c r="N32" s="170"/>
      <c r="O32" s="170"/>
      <c r="P32" s="170"/>
      <c r="Q32" s="170"/>
      <c r="R32" s="170"/>
      <c r="S32" s="170"/>
      <c r="T32" s="170"/>
      <c r="U32" s="170"/>
      <c r="V32" s="170"/>
      <c r="W32" s="170"/>
      <c r="X32" s="170"/>
      <c r="Y32" s="170"/>
      <c r="Z32" s="170"/>
      <c r="AA32" s="170"/>
    </row>
    <row r="33" ht="29.25" customHeight="1">
      <c r="A33" s="232" t="s">
        <v>259</v>
      </c>
      <c r="B33" s="211"/>
      <c r="C33" s="211"/>
      <c r="D33" s="91"/>
      <c r="E33" s="277"/>
      <c r="F33" s="263" t="s">
        <v>24</v>
      </c>
      <c r="G33" s="48"/>
      <c r="H33" s="170"/>
      <c r="I33" s="170"/>
      <c r="J33" s="170"/>
      <c r="K33" s="170"/>
      <c r="L33" s="170"/>
      <c r="M33" s="170"/>
      <c r="N33" s="170"/>
      <c r="O33" s="170"/>
      <c r="P33" s="170"/>
      <c r="Q33" s="170"/>
      <c r="R33" s="170"/>
      <c r="S33" s="170"/>
      <c r="T33" s="170"/>
      <c r="U33" s="170"/>
      <c r="V33" s="170"/>
      <c r="W33" s="170"/>
      <c r="X33" s="170"/>
      <c r="Y33" s="170"/>
      <c r="Z33" s="170"/>
      <c r="AA33" s="170"/>
    </row>
    <row r="34" ht="31.5" customHeight="1">
      <c r="A34" s="264" t="s">
        <v>176</v>
      </c>
      <c r="B34" s="265" t="s">
        <v>26</v>
      </c>
      <c r="C34" s="265" t="s">
        <v>119</v>
      </c>
      <c r="D34" s="235" t="s">
        <v>220</v>
      </c>
      <c r="E34" s="278" t="s">
        <v>253</v>
      </c>
      <c r="F34" s="266" t="s">
        <v>28</v>
      </c>
      <c r="G34" s="48"/>
      <c r="H34" s="170"/>
      <c r="I34" s="170"/>
      <c r="J34" s="170"/>
      <c r="K34" s="170"/>
      <c r="L34" s="170"/>
      <c r="M34" s="170"/>
      <c r="N34" s="170"/>
      <c r="O34" s="170"/>
      <c r="P34" s="170"/>
      <c r="Q34" s="170"/>
      <c r="R34" s="170"/>
      <c r="S34" s="170"/>
      <c r="T34" s="170"/>
      <c r="U34" s="170"/>
      <c r="V34" s="170"/>
      <c r="W34" s="170"/>
      <c r="X34" s="170"/>
      <c r="Y34" s="170"/>
      <c r="Z34" s="170"/>
      <c r="AA34" s="170"/>
    </row>
    <row r="35">
      <c r="A35" s="249" t="s">
        <v>248</v>
      </c>
      <c r="B35" s="267" t="s">
        <v>239</v>
      </c>
      <c r="C35" s="268">
        <f t="shared" ref="C35:C36" si="3">29.6*$B$8</f>
        <v>592</v>
      </c>
      <c r="D35" s="270" t="s">
        <v>244</v>
      </c>
      <c r="E35" s="281">
        <v>5.2803025000127E13</v>
      </c>
      <c r="F35" s="244"/>
      <c r="G35" s="48"/>
      <c r="H35" s="170"/>
      <c r="I35" s="170"/>
      <c r="J35" s="170"/>
      <c r="K35" s="170"/>
      <c r="L35" s="170"/>
      <c r="M35" s="170"/>
      <c r="N35" s="170"/>
      <c r="O35" s="170"/>
      <c r="P35" s="170"/>
      <c r="Q35" s="170"/>
      <c r="R35" s="170"/>
      <c r="S35" s="170"/>
      <c r="T35" s="170"/>
      <c r="U35" s="170"/>
      <c r="V35" s="170"/>
      <c r="W35" s="170"/>
      <c r="X35" s="170"/>
      <c r="Y35" s="170"/>
      <c r="Z35" s="170"/>
      <c r="AA35" s="170"/>
    </row>
    <row r="36">
      <c r="A36" s="249" t="s">
        <v>249</v>
      </c>
      <c r="B36" s="251" t="s">
        <v>250</v>
      </c>
      <c r="C36" s="268">
        <f t="shared" si="3"/>
        <v>592</v>
      </c>
      <c r="D36" s="270" t="s">
        <v>244</v>
      </c>
      <c r="E36" s="281">
        <v>5.2803025000127E13</v>
      </c>
      <c r="F36" s="276"/>
      <c r="G36" s="276"/>
    </row>
    <row r="37">
      <c r="A37" s="284" t="s">
        <v>267</v>
      </c>
      <c r="B37" s="251" t="s">
        <v>268</v>
      </c>
      <c r="C37" s="285"/>
      <c r="D37" s="270" t="s">
        <v>244</v>
      </c>
      <c r="E37" s="281">
        <v>5.2803025000127E13</v>
      </c>
      <c r="F37" s="240" t="s">
        <v>269</v>
      </c>
      <c r="G37" s="48"/>
    </row>
    <row r="38">
      <c r="A38" s="163" t="s">
        <v>80</v>
      </c>
      <c r="B38" s="255" t="s">
        <v>81</v>
      </c>
      <c r="C38" s="268">
        <f t="shared" ref="C38:C39" si="4">29.6*$B$8</f>
        <v>592</v>
      </c>
      <c r="D38" s="270" t="s">
        <v>244</v>
      </c>
      <c r="E38" s="281">
        <v>5.2803025000127E13</v>
      </c>
      <c r="F38" s="254"/>
      <c r="G38" s="48"/>
    </row>
    <row r="39">
      <c r="A39" s="163" t="s">
        <v>59</v>
      </c>
      <c r="B39" s="255" t="s">
        <v>60</v>
      </c>
      <c r="C39" s="268">
        <f t="shared" si="4"/>
        <v>592</v>
      </c>
      <c r="D39" s="270" t="s">
        <v>244</v>
      </c>
      <c r="E39" s="281">
        <v>5.2803025000127E13</v>
      </c>
      <c r="F39" s="179"/>
      <c r="G39" s="48"/>
    </row>
    <row r="40">
      <c r="A40" s="284" t="s">
        <v>270</v>
      </c>
      <c r="B40" s="251" t="s">
        <v>271</v>
      </c>
      <c r="C40" s="285"/>
      <c r="D40" s="270" t="s">
        <v>244</v>
      </c>
      <c r="E40" s="281">
        <v>5.2803025000127E13</v>
      </c>
      <c r="F40" s="240" t="s">
        <v>266</v>
      </c>
      <c r="G40" s="48"/>
    </row>
    <row r="41">
      <c r="A41" s="163" t="s">
        <v>134</v>
      </c>
      <c r="B41" s="255" t="s">
        <v>236</v>
      </c>
      <c r="C41" s="268">
        <f t="shared" ref="C41:C42" si="5">29.6*$B$8</f>
        <v>592</v>
      </c>
      <c r="D41" s="270" t="s">
        <v>244</v>
      </c>
      <c r="E41" s="281">
        <v>5.2803025000127E13</v>
      </c>
      <c r="F41" s="179"/>
      <c r="G41" s="48"/>
    </row>
    <row r="42">
      <c r="A42" s="249" t="s">
        <v>241</v>
      </c>
      <c r="B42" s="251" t="s">
        <v>242</v>
      </c>
      <c r="C42" s="268">
        <f t="shared" si="5"/>
        <v>592</v>
      </c>
      <c r="D42" s="270" t="s">
        <v>244</v>
      </c>
      <c r="E42" s="281">
        <v>5.2803025000127E13</v>
      </c>
      <c r="F42" s="253"/>
      <c r="G42" s="91"/>
    </row>
    <row r="43">
      <c r="A43" s="249"/>
      <c r="B43" s="251"/>
      <c r="C43" s="268"/>
      <c r="D43" s="270"/>
      <c r="E43" s="281"/>
      <c r="F43" s="286"/>
      <c r="G43" s="286"/>
    </row>
    <row r="44">
      <c r="A44" s="249"/>
      <c r="B44" s="251"/>
      <c r="C44" s="268"/>
      <c r="D44" s="270"/>
      <c r="E44" s="281"/>
      <c r="F44" s="286"/>
      <c r="G44" s="286"/>
    </row>
    <row r="45">
      <c r="A45" s="249"/>
      <c r="B45" s="251"/>
      <c r="C45" s="268"/>
      <c r="D45" s="270"/>
      <c r="E45" s="281"/>
      <c r="F45" s="286"/>
      <c r="G45" s="286"/>
    </row>
    <row r="46">
      <c r="A46" s="256" t="s">
        <v>214</v>
      </c>
      <c r="B46" s="91"/>
      <c r="C46" s="257">
        <f>SUM(C35:C44)</f>
        <v>3552</v>
      </c>
      <c r="D46" s="218"/>
      <c r="E46" s="218"/>
      <c r="F46" s="258"/>
      <c r="G46" s="91"/>
    </row>
  </sheetData>
  <mergeCells count="40">
    <mergeCell ref="A1:D1"/>
    <mergeCell ref="B2:D2"/>
    <mergeCell ref="B3:D3"/>
    <mergeCell ref="B4:D4"/>
    <mergeCell ref="A7:G7"/>
    <mergeCell ref="A9:D9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A30:B30"/>
    <mergeCell ref="F30:G30"/>
    <mergeCell ref="A31:G31"/>
    <mergeCell ref="F40:G40"/>
    <mergeCell ref="F41:G41"/>
    <mergeCell ref="F42:G42"/>
    <mergeCell ref="A46:B46"/>
    <mergeCell ref="F46:G46"/>
    <mergeCell ref="A33:D33"/>
    <mergeCell ref="F33:G33"/>
    <mergeCell ref="F34:G34"/>
    <mergeCell ref="F35:G35"/>
    <mergeCell ref="F37:G37"/>
    <mergeCell ref="F38:G38"/>
    <mergeCell ref="F39:G39"/>
  </mergeCells>
  <printOptions gridLines="1" horizontalCentered="1"/>
  <pageMargins bottom="0.75" footer="0.0" header="0.0" left="0.25" right="0.25" top="0.75"/>
  <pageSetup paperSize="9" cellComments="atEnd" orientation="landscape" pageOrder="overThenDown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27.63"/>
    <col customWidth="1" min="2" max="2" width="14.25"/>
    <col customWidth="1" min="3" max="3" width="10.63"/>
    <col customWidth="1" min="4" max="4" width="12.13"/>
    <col customWidth="1" min="5" max="5" width="16.5"/>
    <col customWidth="1" min="6" max="6" width="21.25"/>
    <col customWidth="1" min="7" max="7" width="5.0"/>
  </cols>
  <sheetData>
    <row r="1" ht="41.25" customHeight="1">
      <c r="A1" s="203" t="s">
        <v>3</v>
      </c>
      <c r="D1" s="15"/>
      <c r="E1" s="203"/>
    </row>
    <row r="2" ht="30.75" customHeight="1">
      <c r="A2" s="206" t="s">
        <v>210</v>
      </c>
      <c r="B2" s="209">
        <f>C31</f>
        <v>10863.2</v>
      </c>
      <c r="C2" s="211"/>
      <c r="D2" s="91"/>
      <c r="E2" s="271"/>
    </row>
    <row r="3" ht="30.0" customHeight="1">
      <c r="A3" s="206" t="s">
        <v>214</v>
      </c>
      <c r="B3" s="213">
        <f>C47</f>
        <v>5120.8</v>
      </c>
      <c r="C3" s="211"/>
      <c r="D3" s="91"/>
      <c r="E3" s="272"/>
    </row>
    <row r="4" ht="33.75" customHeight="1">
      <c r="A4" s="214" t="s">
        <v>217</v>
      </c>
      <c r="B4" s="219">
        <f>B2+B3</f>
        <v>15984</v>
      </c>
      <c r="C4" s="211"/>
      <c r="D4" s="91"/>
      <c r="E4" s="273"/>
    </row>
    <row r="5">
      <c r="A5" s="186"/>
      <c r="B5" s="221"/>
      <c r="C5" s="221"/>
      <c r="D5" s="221"/>
      <c r="E5" s="221"/>
      <c r="F5" s="39"/>
      <c r="G5" s="5"/>
    </row>
    <row r="6" ht="15.0" customHeight="1">
      <c r="A6" s="274"/>
      <c r="B6" s="221"/>
      <c r="C6" s="221"/>
      <c r="D6" s="221"/>
      <c r="E6" s="221"/>
      <c r="F6" s="39"/>
      <c r="G6" s="5"/>
    </row>
    <row r="7">
      <c r="A7" s="225" t="s">
        <v>198</v>
      </c>
      <c r="B7" s="211"/>
      <c r="C7" s="211"/>
      <c r="D7" s="211"/>
      <c r="E7" s="211"/>
      <c r="F7" s="211"/>
      <c r="G7" s="91"/>
    </row>
    <row r="8" ht="24.0" customHeight="1">
      <c r="A8" s="227">
        <v>29.6</v>
      </c>
      <c r="B8" s="228">
        <v>20.0</v>
      </c>
      <c r="C8" s="229" t="s">
        <v>21</v>
      </c>
      <c r="D8" s="230" t="s">
        <v>117</v>
      </c>
      <c r="E8" s="230"/>
      <c r="F8" s="5"/>
      <c r="G8" s="5"/>
    </row>
    <row r="9" ht="31.5" customHeight="1">
      <c r="A9" s="232" t="s">
        <v>272</v>
      </c>
      <c r="B9" s="211"/>
      <c r="C9" s="211"/>
      <c r="D9" s="91"/>
      <c r="E9" s="277"/>
      <c r="F9" s="47" t="s">
        <v>24</v>
      </c>
      <c r="G9" s="48"/>
    </row>
    <row r="10" ht="24.75" customHeight="1">
      <c r="A10" s="49" t="s">
        <v>176</v>
      </c>
      <c r="B10" s="50" t="s">
        <v>26</v>
      </c>
      <c r="C10" s="50" t="s">
        <v>119</v>
      </c>
      <c r="D10" s="235" t="s">
        <v>220</v>
      </c>
      <c r="E10" s="278" t="s">
        <v>253</v>
      </c>
      <c r="F10" s="54" t="s">
        <v>28</v>
      </c>
      <c r="G10" s="48"/>
    </row>
    <row r="11">
      <c r="A11" s="133" t="s">
        <v>33</v>
      </c>
      <c r="B11" s="134" t="s">
        <v>34</v>
      </c>
      <c r="C11" s="135">
        <f t="shared" ref="C11:C16" si="1">29.6*$B$8</f>
        <v>592</v>
      </c>
      <c r="D11" s="239" t="s">
        <v>244</v>
      </c>
      <c r="E11" s="279">
        <v>5.393606000158E12</v>
      </c>
      <c r="F11" s="240"/>
      <c r="G11" s="48"/>
    </row>
    <row r="12">
      <c r="A12" s="133" t="s">
        <v>35</v>
      </c>
      <c r="B12" s="134" t="s">
        <v>36</v>
      </c>
      <c r="C12" s="135">
        <f t="shared" si="1"/>
        <v>592</v>
      </c>
      <c r="D12" s="239" t="s">
        <v>244</v>
      </c>
      <c r="E12" s="279">
        <v>5.393606000158E12</v>
      </c>
      <c r="F12" s="205"/>
      <c r="G12" s="48"/>
    </row>
    <row r="13">
      <c r="A13" s="133" t="s">
        <v>55</v>
      </c>
      <c r="B13" s="134" t="s">
        <v>56</v>
      </c>
      <c r="C13" s="135">
        <f t="shared" si="1"/>
        <v>592</v>
      </c>
      <c r="D13" s="239" t="s">
        <v>244</v>
      </c>
      <c r="E13" s="279">
        <v>5.393606000158E12</v>
      </c>
      <c r="F13" s="240"/>
      <c r="G13" s="48"/>
    </row>
    <row r="14">
      <c r="A14" s="142" t="s">
        <v>147</v>
      </c>
      <c r="B14" s="143" t="s">
        <v>148</v>
      </c>
      <c r="C14" s="135">
        <f t="shared" si="1"/>
        <v>592</v>
      </c>
      <c r="D14" s="239" t="s">
        <v>244</v>
      </c>
      <c r="E14" s="279">
        <v>5.393606000158E12</v>
      </c>
      <c r="F14" s="137"/>
      <c r="G14" s="48"/>
    </row>
    <row r="15">
      <c r="A15" s="133" t="s">
        <v>61</v>
      </c>
      <c r="B15" s="134" t="s">
        <v>62</v>
      </c>
      <c r="C15" s="135">
        <f t="shared" si="1"/>
        <v>592</v>
      </c>
      <c r="D15" s="239" t="s">
        <v>244</v>
      </c>
      <c r="E15" s="279">
        <v>5.393606000158E12</v>
      </c>
      <c r="F15" s="137"/>
      <c r="G15" s="48"/>
    </row>
    <row r="16">
      <c r="A16" s="190" t="s">
        <v>164</v>
      </c>
      <c r="B16" s="191" t="s">
        <v>165</v>
      </c>
      <c r="C16" s="135">
        <f t="shared" si="1"/>
        <v>592</v>
      </c>
      <c r="D16" s="239" t="s">
        <v>244</v>
      </c>
      <c r="E16" s="279">
        <v>5.393606000158E12</v>
      </c>
      <c r="F16" s="137"/>
      <c r="G16" s="48"/>
    </row>
    <row r="17">
      <c r="A17" s="193" t="s">
        <v>114</v>
      </c>
      <c r="B17" s="194" t="s">
        <v>115</v>
      </c>
      <c r="C17" s="135">
        <f>29.6*7</f>
        <v>207.2</v>
      </c>
      <c r="D17" s="239" t="s">
        <v>244</v>
      </c>
      <c r="E17" s="279">
        <v>5.393606000158E12</v>
      </c>
      <c r="F17" s="137" t="s">
        <v>273</v>
      </c>
      <c r="G17" s="48"/>
    </row>
    <row r="18">
      <c r="A18" s="193" t="s">
        <v>171</v>
      </c>
      <c r="B18" s="196" t="s">
        <v>224</v>
      </c>
      <c r="C18" s="135">
        <f t="shared" ref="C18:C25" si="2">29.6*$B$8</f>
        <v>592</v>
      </c>
      <c r="D18" s="239" t="s">
        <v>244</v>
      </c>
      <c r="E18" s="279">
        <v>5.393606000158E12</v>
      </c>
      <c r="F18" s="149"/>
      <c r="G18" s="48"/>
    </row>
    <row r="19">
      <c r="A19" s="193" t="s">
        <v>167</v>
      </c>
      <c r="B19" s="196" t="s">
        <v>201</v>
      </c>
      <c r="C19" s="135">
        <f t="shared" si="2"/>
        <v>592</v>
      </c>
      <c r="D19" s="239" t="s">
        <v>244</v>
      </c>
      <c r="E19" s="279">
        <v>5.393606000158E12</v>
      </c>
      <c r="F19" s="137"/>
      <c r="G19" s="48"/>
    </row>
    <row r="20">
      <c r="A20" s="193" t="s">
        <v>77</v>
      </c>
      <c r="B20" s="194" t="s">
        <v>78</v>
      </c>
      <c r="C20" s="135">
        <f t="shared" si="2"/>
        <v>592</v>
      </c>
      <c r="D20" s="239" t="s">
        <v>244</v>
      </c>
      <c r="E20" s="279">
        <v>5.393606000158E12</v>
      </c>
      <c r="F20" s="137"/>
      <c r="G20" s="48"/>
    </row>
    <row r="21">
      <c r="A21" s="198" t="s">
        <v>186</v>
      </c>
      <c r="B21" s="196" t="s">
        <v>202</v>
      </c>
      <c r="C21" s="135">
        <f t="shared" si="2"/>
        <v>592</v>
      </c>
      <c r="D21" s="239" t="s">
        <v>244</v>
      </c>
      <c r="E21" s="279">
        <v>5.393606000158E12</v>
      </c>
      <c r="F21" s="137"/>
      <c r="G21" s="48"/>
    </row>
    <row r="22">
      <c r="A22" s="193" t="s">
        <v>172</v>
      </c>
      <c r="B22" s="196" t="s">
        <v>232</v>
      </c>
      <c r="C22" s="135">
        <f t="shared" si="2"/>
        <v>592</v>
      </c>
      <c r="D22" s="239" t="s">
        <v>244</v>
      </c>
      <c r="E22" s="279">
        <v>5.393606000158E12</v>
      </c>
      <c r="F22" s="137"/>
      <c r="G22" s="48"/>
    </row>
    <row r="23">
      <c r="A23" s="119" t="s">
        <v>203</v>
      </c>
      <c r="B23" s="199" t="s">
        <v>204</v>
      </c>
      <c r="C23" s="135">
        <f t="shared" si="2"/>
        <v>592</v>
      </c>
      <c r="D23" s="239" t="s">
        <v>244</v>
      </c>
      <c r="E23" s="279">
        <v>5.393606000158E12</v>
      </c>
      <c r="F23" s="137"/>
      <c r="G23" s="48"/>
    </row>
    <row r="24">
      <c r="A24" s="252" t="s">
        <v>234</v>
      </c>
      <c r="B24" s="202" t="s">
        <v>235</v>
      </c>
      <c r="C24" s="135">
        <f t="shared" si="2"/>
        <v>592</v>
      </c>
      <c r="D24" s="239" t="s">
        <v>244</v>
      </c>
      <c r="E24" s="279">
        <v>5.393606000158E12</v>
      </c>
      <c r="F24" s="205"/>
      <c r="G24" s="48"/>
    </row>
    <row r="25">
      <c r="A25" s="208" t="s">
        <v>212</v>
      </c>
      <c r="B25" s="210" t="s">
        <v>213</v>
      </c>
      <c r="C25" s="135">
        <f t="shared" si="2"/>
        <v>592</v>
      </c>
      <c r="D25" s="239" t="s">
        <v>244</v>
      </c>
      <c r="E25" s="279">
        <v>5.393606000158E12</v>
      </c>
      <c r="F25" s="207"/>
      <c r="G25" s="91"/>
    </row>
    <row r="26">
      <c r="A26" s="208" t="s">
        <v>262</v>
      </c>
      <c r="B26" s="212" t="s">
        <v>263</v>
      </c>
      <c r="C26" s="135">
        <v>592.0</v>
      </c>
      <c r="D26" s="239" t="s">
        <v>244</v>
      </c>
      <c r="E26" s="279">
        <v>5.393606000158E12</v>
      </c>
      <c r="F26" s="240" t="s">
        <v>274</v>
      </c>
      <c r="G26" s="48"/>
      <c r="H26" s="287">
        <v>45748.0</v>
      </c>
    </row>
    <row r="27">
      <c r="A27" s="282" t="s">
        <v>264</v>
      </c>
      <c r="B27" s="212" t="s">
        <v>265</v>
      </c>
      <c r="C27" s="288">
        <f t="shared" ref="C27:C29" si="3">29.6*$B$8</f>
        <v>592</v>
      </c>
      <c r="D27" s="239" t="s">
        <v>244</v>
      </c>
      <c r="E27" s="279">
        <v>5.393606000158E12</v>
      </c>
      <c r="F27" s="240"/>
      <c r="G27" s="48"/>
    </row>
    <row r="28">
      <c r="A28" s="289" t="s">
        <v>275</v>
      </c>
      <c r="B28" s="212"/>
      <c r="C28" s="288">
        <f t="shared" si="3"/>
        <v>592</v>
      </c>
      <c r="D28" s="239" t="s">
        <v>244</v>
      </c>
      <c r="E28" s="279">
        <v>5.393606000158E12</v>
      </c>
      <c r="F28" s="240"/>
      <c r="G28" s="48"/>
    </row>
    <row r="29">
      <c r="A29" s="289" t="s">
        <v>276</v>
      </c>
      <c r="B29" s="212"/>
      <c r="C29" s="288">
        <f t="shared" si="3"/>
        <v>592</v>
      </c>
      <c r="D29" s="239" t="s">
        <v>244</v>
      </c>
      <c r="E29" s="279">
        <v>5.393606000158E12</v>
      </c>
      <c r="F29" s="240"/>
      <c r="G29" s="48"/>
    </row>
    <row r="30">
      <c r="A30" s="290"/>
      <c r="B30" s="290"/>
      <c r="C30" s="257"/>
      <c r="D30" s="291"/>
      <c r="E30" s="291"/>
      <c r="F30" s="258"/>
      <c r="G30" s="91"/>
      <c r="H30" s="170"/>
      <c r="I30" s="170"/>
      <c r="J30" s="170"/>
      <c r="K30" s="170"/>
      <c r="L30" s="170"/>
      <c r="M30" s="170"/>
      <c r="N30" s="170"/>
      <c r="O30" s="170"/>
      <c r="P30" s="170"/>
      <c r="Q30" s="170"/>
      <c r="R30" s="170"/>
      <c r="S30" s="170"/>
      <c r="T30" s="170"/>
      <c r="U30" s="170"/>
      <c r="V30" s="170"/>
      <c r="W30" s="170"/>
      <c r="X30" s="170"/>
      <c r="Y30" s="170"/>
      <c r="Z30" s="170"/>
      <c r="AA30" s="170"/>
    </row>
    <row r="31">
      <c r="A31" s="256" t="s">
        <v>210</v>
      </c>
      <c r="B31" s="91"/>
      <c r="C31" s="257">
        <f>SUM(C11:C29)</f>
        <v>10863.2</v>
      </c>
      <c r="D31" s="218"/>
      <c r="E31" s="218"/>
      <c r="F31" s="258"/>
      <c r="G31" s="91"/>
      <c r="H31" s="170"/>
      <c r="I31" s="170"/>
      <c r="J31" s="170"/>
      <c r="K31" s="170"/>
      <c r="L31" s="170"/>
      <c r="M31" s="170"/>
      <c r="N31" s="170"/>
      <c r="O31" s="170"/>
      <c r="P31" s="170"/>
      <c r="Q31" s="170"/>
      <c r="R31" s="170"/>
      <c r="S31" s="170"/>
      <c r="T31" s="170"/>
      <c r="U31" s="170"/>
      <c r="V31" s="170"/>
      <c r="W31" s="170"/>
      <c r="X31" s="170"/>
      <c r="Y31" s="170"/>
      <c r="Z31" s="170"/>
      <c r="AA31" s="170"/>
    </row>
    <row r="32">
      <c r="A32" s="225" t="s">
        <v>188</v>
      </c>
      <c r="B32" s="211"/>
      <c r="C32" s="211"/>
      <c r="D32" s="211"/>
      <c r="E32" s="211"/>
      <c r="F32" s="211"/>
      <c r="G32" s="91"/>
      <c r="H32" s="170"/>
      <c r="I32" s="170"/>
      <c r="J32" s="170"/>
      <c r="K32" s="170"/>
      <c r="L32" s="170"/>
      <c r="M32" s="170"/>
      <c r="N32" s="170"/>
      <c r="O32" s="170"/>
      <c r="P32" s="170"/>
      <c r="Q32" s="170"/>
      <c r="R32" s="170"/>
      <c r="S32" s="170"/>
      <c r="T32" s="170"/>
      <c r="U32" s="170"/>
      <c r="V32" s="170"/>
      <c r="W32" s="170"/>
      <c r="X32" s="170"/>
      <c r="Y32" s="170"/>
      <c r="Z32" s="170"/>
      <c r="AA32" s="170"/>
    </row>
    <row r="33" ht="26.25" customHeight="1">
      <c r="A33" s="227">
        <v>29.6</v>
      </c>
      <c r="B33" s="228">
        <f>B8</f>
        <v>20</v>
      </c>
      <c r="C33" s="229" t="s">
        <v>21</v>
      </c>
      <c r="D33" s="230" t="s">
        <v>117</v>
      </c>
      <c r="E33" s="230"/>
      <c r="F33" s="5"/>
      <c r="G33" s="5"/>
      <c r="H33" s="170"/>
      <c r="I33" s="170"/>
      <c r="J33" s="170"/>
      <c r="K33" s="170"/>
      <c r="L33" s="170"/>
      <c r="M33" s="170"/>
      <c r="N33" s="170"/>
      <c r="O33" s="170"/>
      <c r="P33" s="170"/>
      <c r="Q33" s="170"/>
      <c r="R33" s="170"/>
      <c r="S33" s="170"/>
      <c r="T33" s="170"/>
      <c r="U33" s="170"/>
      <c r="V33" s="170"/>
      <c r="W33" s="170"/>
      <c r="X33" s="170"/>
      <c r="Y33" s="170"/>
      <c r="Z33" s="170"/>
      <c r="AA33" s="170"/>
    </row>
    <row r="34" ht="29.25" customHeight="1">
      <c r="A34" s="232" t="s">
        <v>272</v>
      </c>
      <c r="B34" s="211"/>
      <c r="C34" s="211"/>
      <c r="D34" s="91"/>
      <c r="E34" s="277"/>
      <c r="F34" s="263" t="s">
        <v>24</v>
      </c>
      <c r="G34" s="48"/>
      <c r="H34" s="170"/>
      <c r="I34" s="170"/>
      <c r="J34" s="170"/>
      <c r="K34" s="170"/>
      <c r="L34" s="170"/>
      <c r="M34" s="170"/>
      <c r="N34" s="170"/>
      <c r="O34" s="170"/>
      <c r="P34" s="170"/>
      <c r="Q34" s="170"/>
      <c r="R34" s="170"/>
      <c r="S34" s="170"/>
      <c r="T34" s="170"/>
      <c r="U34" s="170"/>
      <c r="V34" s="170"/>
      <c r="W34" s="170"/>
      <c r="X34" s="170"/>
      <c r="Y34" s="170"/>
      <c r="Z34" s="170"/>
      <c r="AA34" s="170"/>
    </row>
    <row r="35" ht="31.5" customHeight="1">
      <c r="A35" s="264" t="s">
        <v>176</v>
      </c>
      <c r="B35" s="265" t="s">
        <v>26</v>
      </c>
      <c r="C35" s="265" t="s">
        <v>119</v>
      </c>
      <c r="D35" s="235" t="s">
        <v>220</v>
      </c>
      <c r="E35" s="278" t="s">
        <v>253</v>
      </c>
      <c r="F35" s="266" t="s">
        <v>28</v>
      </c>
      <c r="G35" s="48"/>
      <c r="H35" s="170"/>
      <c r="I35" s="170"/>
      <c r="J35" s="170"/>
      <c r="K35" s="170"/>
      <c r="L35" s="170"/>
      <c r="M35" s="170"/>
      <c r="N35" s="170"/>
      <c r="O35" s="170"/>
      <c r="P35" s="170"/>
      <c r="Q35" s="170"/>
      <c r="R35" s="170"/>
      <c r="S35" s="170"/>
      <c r="T35" s="170"/>
      <c r="U35" s="170"/>
      <c r="V35" s="170"/>
      <c r="W35" s="170"/>
      <c r="X35" s="170"/>
      <c r="Y35" s="170"/>
      <c r="Z35" s="170"/>
      <c r="AA35" s="170"/>
    </row>
    <row r="36">
      <c r="A36" s="249" t="s">
        <v>248</v>
      </c>
      <c r="B36" s="267" t="s">
        <v>239</v>
      </c>
      <c r="C36" s="268">
        <f t="shared" ref="C36:C37" si="4">29.6*$B$8</f>
        <v>592</v>
      </c>
      <c r="D36" s="270" t="s">
        <v>244</v>
      </c>
      <c r="E36" s="281">
        <v>5.2803025000127E13</v>
      </c>
      <c r="F36" s="244"/>
      <c r="G36" s="48"/>
      <c r="H36" s="170"/>
      <c r="I36" s="170"/>
      <c r="J36" s="170"/>
      <c r="K36" s="170"/>
      <c r="L36" s="170"/>
      <c r="M36" s="170"/>
      <c r="N36" s="170"/>
      <c r="O36" s="170"/>
      <c r="P36" s="170"/>
      <c r="Q36" s="170"/>
      <c r="R36" s="170"/>
      <c r="S36" s="170"/>
      <c r="T36" s="170"/>
      <c r="U36" s="170"/>
      <c r="V36" s="170"/>
      <c r="W36" s="170"/>
      <c r="X36" s="170"/>
      <c r="Y36" s="170"/>
      <c r="Z36" s="170"/>
      <c r="AA36" s="170"/>
    </row>
    <row r="37">
      <c r="A37" s="249" t="s">
        <v>249</v>
      </c>
      <c r="B37" s="251" t="s">
        <v>250</v>
      </c>
      <c r="C37" s="268">
        <f t="shared" si="4"/>
        <v>592</v>
      </c>
      <c r="D37" s="270" t="s">
        <v>244</v>
      </c>
      <c r="E37" s="281">
        <v>5.2803025000127E13</v>
      </c>
      <c r="F37" s="244"/>
      <c r="G37" s="48"/>
    </row>
    <row r="38">
      <c r="A38" s="284" t="s">
        <v>267</v>
      </c>
      <c r="B38" s="251" t="s">
        <v>268</v>
      </c>
      <c r="C38" s="285">
        <v>0.0</v>
      </c>
      <c r="D38" s="270" t="s">
        <v>244</v>
      </c>
      <c r="E38" s="281">
        <v>5.2803025000127E13</v>
      </c>
      <c r="F38" s="240" t="s">
        <v>278</v>
      </c>
      <c r="G38" s="48"/>
    </row>
    <row r="39">
      <c r="A39" s="163" t="s">
        <v>80</v>
      </c>
      <c r="B39" s="255" t="s">
        <v>81</v>
      </c>
      <c r="C39" s="268">
        <f>29.6*$B$8</f>
        <v>592</v>
      </c>
      <c r="D39" s="270" t="s">
        <v>244</v>
      </c>
      <c r="E39" s="281">
        <v>5.2803025000127E13</v>
      </c>
      <c r="F39" s="254"/>
      <c r="G39" s="48"/>
    </row>
    <row r="40">
      <c r="A40" s="163" t="s">
        <v>59</v>
      </c>
      <c r="B40" s="255" t="s">
        <v>60</v>
      </c>
      <c r="C40" s="268">
        <f>29.6*13</f>
        <v>384.8</v>
      </c>
      <c r="D40" s="270" t="s">
        <v>244</v>
      </c>
      <c r="E40" s="281">
        <v>5.2803025000127E13</v>
      </c>
      <c r="F40" s="137" t="s">
        <v>279</v>
      </c>
      <c r="G40" s="48"/>
    </row>
    <row r="41">
      <c r="A41" s="284" t="s">
        <v>270</v>
      </c>
      <c r="B41" s="251" t="s">
        <v>271</v>
      </c>
      <c r="C41" s="305">
        <f t="shared" ref="C41:C45" si="5">29.6*$B$8</f>
        <v>592</v>
      </c>
      <c r="D41" s="270" t="s">
        <v>244</v>
      </c>
      <c r="E41" s="281">
        <v>5.2803025000127E13</v>
      </c>
      <c r="F41" s="240"/>
      <c r="G41" s="48"/>
    </row>
    <row r="42">
      <c r="A42" s="163" t="s">
        <v>134</v>
      </c>
      <c r="B42" s="255" t="s">
        <v>236</v>
      </c>
      <c r="C42" s="268">
        <f t="shared" si="5"/>
        <v>592</v>
      </c>
      <c r="D42" s="270" t="s">
        <v>244</v>
      </c>
      <c r="E42" s="281">
        <v>5.2803025000127E13</v>
      </c>
      <c r="F42" s="179"/>
      <c r="G42" s="48"/>
    </row>
    <row r="43">
      <c r="A43" s="249" t="s">
        <v>241</v>
      </c>
      <c r="B43" s="251" t="s">
        <v>242</v>
      </c>
      <c r="C43" s="268">
        <f t="shared" si="5"/>
        <v>592</v>
      </c>
      <c r="D43" s="270" t="s">
        <v>244</v>
      </c>
      <c r="E43" s="281">
        <v>5.2803025000127E13</v>
      </c>
      <c r="F43" s="253"/>
      <c r="G43" s="91"/>
    </row>
    <row r="44">
      <c r="A44" s="309" t="s">
        <v>280</v>
      </c>
      <c r="B44" s="251"/>
      <c r="C44" s="305">
        <f t="shared" si="5"/>
        <v>592</v>
      </c>
      <c r="D44" s="270" t="s">
        <v>244</v>
      </c>
      <c r="E44" s="281">
        <v>5.2803025000127E13</v>
      </c>
      <c r="F44" s="253"/>
      <c r="G44" s="91"/>
    </row>
    <row r="45">
      <c r="A45" s="309" t="s">
        <v>282</v>
      </c>
      <c r="B45" s="251"/>
      <c r="C45" s="305">
        <f t="shared" si="5"/>
        <v>592</v>
      </c>
      <c r="D45" s="270" t="s">
        <v>244</v>
      </c>
      <c r="E45" s="281">
        <v>5.2803025000127E13</v>
      </c>
      <c r="F45" s="253"/>
      <c r="G45" s="91"/>
    </row>
    <row r="46">
      <c r="A46" s="249"/>
      <c r="B46" s="251"/>
      <c r="C46" s="268"/>
      <c r="D46" s="270"/>
      <c r="E46" s="281"/>
      <c r="F46" s="253"/>
      <c r="G46" s="91"/>
    </row>
    <row r="47">
      <c r="A47" s="256" t="s">
        <v>214</v>
      </c>
      <c r="B47" s="91"/>
      <c r="C47" s="257">
        <f>SUM(C36:C45)</f>
        <v>5120.8</v>
      </c>
      <c r="D47" s="218"/>
      <c r="E47" s="218"/>
      <c r="F47" s="258"/>
      <c r="G47" s="91"/>
    </row>
  </sheetData>
  <mergeCells count="47">
    <mergeCell ref="A1:D1"/>
    <mergeCell ref="B2:D2"/>
    <mergeCell ref="B3:D3"/>
    <mergeCell ref="B4:D4"/>
    <mergeCell ref="A7:G7"/>
    <mergeCell ref="A9:D9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30:G30"/>
    <mergeCell ref="F31:G31"/>
    <mergeCell ref="F24:G24"/>
    <mergeCell ref="F25:G25"/>
    <mergeCell ref="F26:G26"/>
    <mergeCell ref="F27:G27"/>
    <mergeCell ref="F28:G28"/>
    <mergeCell ref="F29:G29"/>
    <mergeCell ref="A31:B31"/>
    <mergeCell ref="A32:G32"/>
    <mergeCell ref="A34:D34"/>
    <mergeCell ref="F34:G34"/>
    <mergeCell ref="F35:G35"/>
    <mergeCell ref="F36:G36"/>
    <mergeCell ref="F37:G37"/>
    <mergeCell ref="F38:G38"/>
    <mergeCell ref="F46:G46"/>
    <mergeCell ref="A47:B47"/>
    <mergeCell ref="F47:G47"/>
    <mergeCell ref="F39:G39"/>
    <mergeCell ref="F40:G40"/>
    <mergeCell ref="F41:G41"/>
    <mergeCell ref="F42:G42"/>
    <mergeCell ref="F43:G43"/>
    <mergeCell ref="F44:G44"/>
    <mergeCell ref="F45:G45"/>
  </mergeCells>
  <printOptions gridLines="1" horizontalCentered="1"/>
  <pageMargins bottom="0.75" footer="0.0" header="0.0" left="0.25" right="0.25" top="0.75"/>
  <pageSetup paperSize="9" cellComments="atEnd" orientation="landscape" pageOrder="overThenDown"/>
  <drawing r:id="rId1"/>
  <tableParts count="1">
    <tablePart r:id="rId3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22.88"/>
    <col customWidth="1" min="2" max="2" width="14.25"/>
    <col customWidth="1" min="3" max="3" width="10.38"/>
    <col customWidth="1" min="4" max="4" width="9.13"/>
    <col customWidth="1" min="5" max="5" width="14.88"/>
    <col customWidth="1" min="6" max="6" width="21.25"/>
  </cols>
  <sheetData>
    <row r="1" ht="21.75" customHeight="1">
      <c r="A1" s="203" t="s">
        <v>3</v>
      </c>
      <c r="F1" s="15"/>
    </row>
    <row r="2">
      <c r="A2" s="225" t="s">
        <v>198</v>
      </c>
      <c r="B2" s="211"/>
      <c r="C2" s="211"/>
      <c r="D2" s="211"/>
      <c r="E2" s="211"/>
      <c r="F2" s="91"/>
      <c r="G2" s="275" t="s">
        <v>173</v>
      </c>
    </row>
    <row r="3" ht="24.0" customHeight="1">
      <c r="A3" s="227">
        <v>29.6</v>
      </c>
      <c r="B3" s="228">
        <v>21.0</v>
      </c>
      <c r="C3" s="229" t="s">
        <v>21</v>
      </c>
      <c r="D3" s="230" t="s">
        <v>117</v>
      </c>
      <c r="E3" s="230"/>
      <c r="F3" s="5"/>
      <c r="G3" s="292">
        <f>C25+C45</f>
        <v>16931.2</v>
      </c>
    </row>
    <row r="4" ht="31.5" customHeight="1">
      <c r="A4" s="232" t="s">
        <v>277</v>
      </c>
      <c r="B4" s="211"/>
      <c r="C4" s="211"/>
      <c r="D4" s="91"/>
      <c r="E4" s="277"/>
      <c r="F4" s="293" t="s">
        <v>24</v>
      </c>
    </row>
    <row r="5" ht="24.75" customHeight="1">
      <c r="A5" s="49" t="s">
        <v>176</v>
      </c>
      <c r="B5" s="50" t="s">
        <v>26</v>
      </c>
      <c r="C5" s="50" t="s">
        <v>119</v>
      </c>
      <c r="D5" s="235" t="s">
        <v>220</v>
      </c>
      <c r="E5" s="278" t="s">
        <v>253</v>
      </c>
      <c r="F5" s="52" t="s">
        <v>28</v>
      </c>
    </row>
    <row r="6">
      <c r="A6" s="294" t="s">
        <v>33</v>
      </c>
      <c r="B6" s="295" t="s">
        <v>34</v>
      </c>
      <c r="C6" s="296">
        <f t="shared" ref="C6:C22" si="1">29.6*$B$3</f>
        <v>621.6</v>
      </c>
      <c r="D6" s="297" t="s">
        <v>244</v>
      </c>
      <c r="E6" s="298">
        <v>5.393606000158E12</v>
      </c>
      <c r="F6" s="299"/>
    </row>
    <row r="7">
      <c r="A7" s="133" t="s">
        <v>35</v>
      </c>
      <c r="B7" s="134" t="s">
        <v>36</v>
      </c>
      <c r="C7" s="135">
        <f t="shared" si="1"/>
        <v>621.6</v>
      </c>
      <c r="D7" s="239" t="s">
        <v>244</v>
      </c>
      <c r="E7" s="279">
        <v>5.393606000158E12</v>
      </c>
      <c r="F7" s="300"/>
    </row>
    <row r="8">
      <c r="A8" s="301" t="s">
        <v>264</v>
      </c>
      <c r="B8" s="302" t="s">
        <v>265</v>
      </c>
      <c r="C8" s="296">
        <f t="shared" si="1"/>
        <v>621.6</v>
      </c>
      <c r="D8" s="297" t="s">
        <v>244</v>
      </c>
      <c r="E8" s="298">
        <v>5.393606000158E12</v>
      </c>
      <c r="F8" s="303"/>
    </row>
    <row r="9">
      <c r="A9" s="243" t="s">
        <v>234</v>
      </c>
      <c r="B9" s="280" t="s">
        <v>235</v>
      </c>
      <c r="C9" s="135">
        <f t="shared" si="1"/>
        <v>621.6</v>
      </c>
      <c r="D9" s="280" t="s">
        <v>244</v>
      </c>
      <c r="E9" s="304">
        <v>5.393606000158E12</v>
      </c>
      <c r="F9" s="300"/>
      <c r="G9" s="170"/>
      <c r="H9" s="170"/>
      <c r="I9" s="170"/>
      <c r="J9" s="170"/>
      <c r="K9" s="170"/>
      <c r="L9" s="170"/>
      <c r="M9" s="170"/>
      <c r="N9" s="170"/>
      <c r="O9" s="170"/>
      <c r="P9" s="170"/>
      <c r="Q9" s="170"/>
      <c r="R9" s="170"/>
      <c r="S9" s="170"/>
      <c r="T9" s="170"/>
      <c r="U9" s="170"/>
      <c r="V9" s="170"/>
      <c r="W9" s="170"/>
      <c r="X9" s="170"/>
      <c r="Y9" s="170"/>
      <c r="Z9" s="170"/>
    </row>
    <row r="10">
      <c r="A10" s="306" t="s">
        <v>203</v>
      </c>
      <c r="B10" s="307" t="s">
        <v>204</v>
      </c>
      <c r="C10" s="296">
        <f t="shared" si="1"/>
        <v>621.6</v>
      </c>
      <c r="D10" s="307" t="s">
        <v>244</v>
      </c>
      <c r="E10" s="308">
        <v>5.393606000158E12</v>
      </c>
      <c r="F10" s="303"/>
      <c r="G10" s="170"/>
      <c r="H10" s="170"/>
      <c r="I10" s="170"/>
      <c r="J10" s="170"/>
      <c r="K10" s="170"/>
      <c r="L10" s="170"/>
      <c r="M10" s="170"/>
      <c r="N10" s="170"/>
      <c r="O10" s="170"/>
      <c r="P10" s="170"/>
      <c r="Q10" s="170"/>
      <c r="R10" s="170"/>
      <c r="S10" s="170"/>
      <c r="T10" s="170"/>
      <c r="U10" s="170"/>
      <c r="V10" s="170"/>
      <c r="W10" s="170"/>
      <c r="X10" s="170"/>
      <c r="Y10" s="170"/>
      <c r="Z10" s="170"/>
    </row>
    <row r="11">
      <c r="A11" s="133" t="s">
        <v>55</v>
      </c>
      <c r="B11" s="134" t="s">
        <v>56</v>
      </c>
      <c r="C11" s="135">
        <f t="shared" si="1"/>
        <v>621.6</v>
      </c>
      <c r="D11" s="239" t="s">
        <v>244</v>
      </c>
      <c r="E11" s="279">
        <v>5.393606000158E12</v>
      </c>
      <c r="F11" s="300"/>
    </row>
    <row r="12">
      <c r="A12" s="301" t="s">
        <v>275</v>
      </c>
      <c r="B12" s="302" t="s">
        <v>281</v>
      </c>
      <c r="C12" s="296">
        <f t="shared" si="1"/>
        <v>621.6</v>
      </c>
      <c r="D12" s="297" t="s">
        <v>244</v>
      </c>
      <c r="E12" s="298">
        <v>5.393606000158E12</v>
      </c>
      <c r="F12" s="303"/>
    </row>
    <row r="13">
      <c r="A13" s="142" t="s">
        <v>147</v>
      </c>
      <c r="B13" s="143" t="s">
        <v>148</v>
      </c>
      <c r="C13" s="135">
        <f t="shared" si="1"/>
        <v>621.6</v>
      </c>
      <c r="D13" s="239" t="s">
        <v>244</v>
      </c>
      <c r="E13" s="279">
        <v>5.393606000158E12</v>
      </c>
      <c r="F13" s="300"/>
    </row>
    <row r="14">
      <c r="A14" s="294" t="s">
        <v>61</v>
      </c>
      <c r="B14" s="295" t="s">
        <v>62</v>
      </c>
      <c r="C14" s="296">
        <f t="shared" si="1"/>
        <v>621.6</v>
      </c>
      <c r="D14" s="297" t="s">
        <v>244</v>
      </c>
      <c r="E14" s="298">
        <v>5.393606000158E12</v>
      </c>
      <c r="F14" s="303"/>
    </row>
    <row r="15">
      <c r="A15" s="310" t="s">
        <v>276</v>
      </c>
      <c r="B15" s="311" t="s">
        <v>283</v>
      </c>
      <c r="C15" s="135">
        <f t="shared" si="1"/>
        <v>621.6</v>
      </c>
      <c r="D15" s="239" t="s">
        <v>244</v>
      </c>
      <c r="E15" s="279">
        <v>5.393606000158E12</v>
      </c>
      <c r="F15" s="300"/>
    </row>
    <row r="16">
      <c r="A16" s="301" t="s">
        <v>284</v>
      </c>
      <c r="B16" s="312" t="s">
        <v>285</v>
      </c>
      <c r="C16" s="296">
        <f t="shared" si="1"/>
        <v>621.6</v>
      </c>
      <c r="D16" s="297" t="s">
        <v>244</v>
      </c>
      <c r="E16" s="298">
        <v>5.393606000158E12</v>
      </c>
      <c r="F16" s="303"/>
    </row>
    <row r="17">
      <c r="A17" s="190" t="s">
        <v>164</v>
      </c>
      <c r="B17" s="191" t="s">
        <v>165</v>
      </c>
      <c r="C17" s="135">
        <f t="shared" si="1"/>
        <v>621.6</v>
      </c>
      <c r="D17" s="239" t="s">
        <v>244</v>
      </c>
      <c r="E17" s="279">
        <v>5.393606000158E12</v>
      </c>
      <c r="F17" s="313"/>
    </row>
    <row r="18">
      <c r="A18" s="306" t="s">
        <v>212</v>
      </c>
      <c r="B18" s="307" t="s">
        <v>213</v>
      </c>
      <c r="C18" s="296">
        <f t="shared" si="1"/>
        <v>621.6</v>
      </c>
      <c r="D18" s="307" t="s">
        <v>244</v>
      </c>
      <c r="E18" s="308">
        <v>5.393606000158E12</v>
      </c>
      <c r="F18" s="314"/>
      <c r="G18" s="170"/>
      <c r="H18" s="170"/>
      <c r="I18" s="170"/>
      <c r="J18" s="170"/>
      <c r="K18" s="170"/>
      <c r="L18" s="170"/>
      <c r="M18" s="170"/>
      <c r="N18" s="170"/>
      <c r="O18" s="170"/>
      <c r="P18" s="170"/>
      <c r="Q18" s="170"/>
      <c r="R18" s="170"/>
      <c r="S18" s="170"/>
      <c r="T18" s="170"/>
      <c r="U18" s="170"/>
      <c r="V18" s="170"/>
      <c r="W18" s="170"/>
      <c r="X18" s="170"/>
      <c r="Y18" s="170"/>
      <c r="Z18" s="170"/>
    </row>
    <row r="19">
      <c r="A19" s="193" t="s">
        <v>114</v>
      </c>
      <c r="B19" s="194" t="s">
        <v>115</v>
      </c>
      <c r="C19" s="135">
        <f t="shared" si="1"/>
        <v>621.6</v>
      </c>
      <c r="D19" s="239" t="s">
        <v>244</v>
      </c>
      <c r="E19" s="279">
        <v>5.393606000158E12</v>
      </c>
      <c r="F19" s="313"/>
    </row>
    <row r="20">
      <c r="A20" s="315" t="s">
        <v>171</v>
      </c>
      <c r="B20" s="316" t="s">
        <v>224</v>
      </c>
      <c r="C20" s="296">
        <f t="shared" si="1"/>
        <v>621.6</v>
      </c>
      <c r="D20" s="297" t="s">
        <v>244</v>
      </c>
      <c r="E20" s="298">
        <v>5.393606000158E12</v>
      </c>
      <c r="F20" s="317"/>
    </row>
    <row r="21">
      <c r="A21" s="193" t="s">
        <v>167</v>
      </c>
      <c r="B21" s="196" t="s">
        <v>201</v>
      </c>
      <c r="C21" s="135">
        <f t="shared" si="1"/>
        <v>621.6</v>
      </c>
      <c r="D21" s="239" t="s">
        <v>244</v>
      </c>
      <c r="E21" s="279">
        <v>5.393606000158E12</v>
      </c>
      <c r="F21" s="313"/>
    </row>
    <row r="22">
      <c r="A22" s="315" t="s">
        <v>77</v>
      </c>
      <c r="B22" s="318" t="s">
        <v>78</v>
      </c>
      <c r="C22" s="296">
        <f t="shared" si="1"/>
        <v>621.6</v>
      </c>
      <c r="D22" s="297" t="s">
        <v>244</v>
      </c>
      <c r="E22" s="298">
        <v>5.393606000158E12</v>
      </c>
      <c r="F22" s="319"/>
    </row>
    <row r="23">
      <c r="A23" s="193" t="s">
        <v>172</v>
      </c>
      <c r="B23" s="196" t="s">
        <v>232</v>
      </c>
      <c r="C23" s="135">
        <f>29.6*6</f>
        <v>177.6</v>
      </c>
      <c r="D23" s="239" t="s">
        <v>244</v>
      </c>
      <c r="E23" s="279">
        <v>5.393606000158E12</v>
      </c>
      <c r="F23" s="313" t="s">
        <v>286</v>
      </c>
    </row>
    <row r="24">
      <c r="A24" s="320"/>
      <c r="B24" s="199"/>
      <c r="C24" s="135"/>
      <c r="D24" s="321"/>
      <c r="E24" s="322"/>
      <c r="F24" s="323"/>
    </row>
    <row r="25">
      <c r="A25" s="324" t="s">
        <v>288</v>
      </c>
      <c r="B25" s="325"/>
      <c r="C25" s="326">
        <f>SUM(C6:C23)</f>
        <v>10744.8</v>
      </c>
      <c r="D25" s="321"/>
      <c r="E25" s="322"/>
      <c r="F25" s="327"/>
    </row>
    <row r="26">
      <c r="A26" s="328"/>
      <c r="B26" s="329"/>
      <c r="C26" s="330"/>
      <c r="D26" s="331"/>
      <c r="E26" s="331"/>
      <c r="F26" s="332"/>
      <c r="G26" s="287"/>
    </row>
    <row r="27">
      <c r="A27" s="333"/>
      <c r="B27" s="333"/>
      <c r="C27" s="334"/>
      <c r="D27" s="262"/>
      <c r="E27" s="262"/>
      <c r="F27" s="262"/>
      <c r="G27" s="170"/>
      <c r="H27" s="170"/>
      <c r="I27" s="170"/>
      <c r="J27" s="170"/>
      <c r="K27" s="170"/>
      <c r="L27" s="170"/>
      <c r="M27" s="170"/>
      <c r="N27" s="170"/>
      <c r="O27" s="170"/>
      <c r="P27" s="170"/>
      <c r="Q27" s="170"/>
      <c r="R27" s="170"/>
      <c r="S27" s="170"/>
      <c r="T27" s="170"/>
      <c r="U27" s="170"/>
      <c r="V27" s="170"/>
      <c r="W27" s="170"/>
      <c r="X27" s="170"/>
      <c r="Y27" s="170"/>
      <c r="Z27" s="170"/>
    </row>
    <row r="28">
      <c r="A28" s="333"/>
      <c r="C28" s="334"/>
      <c r="D28" s="262"/>
      <c r="E28" s="262"/>
      <c r="F28" s="262"/>
      <c r="G28" s="170"/>
      <c r="H28" s="170"/>
      <c r="I28" s="170"/>
      <c r="J28" s="170"/>
      <c r="K28" s="170"/>
      <c r="L28" s="170"/>
      <c r="M28" s="170"/>
      <c r="N28" s="170"/>
      <c r="O28" s="170"/>
      <c r="P28" s="170"/>
      <c r="Q28" s="170"/>
      <c r="R28" s="170"/>
      <c r="S28" s="170"/>
      <c r="T28" s="170"/>
      <c r="U28" s="170"/>
      <c r="V28" s="170"/>
      <c r="W28" s="170"/>
      <c r="X28" s="170"/>
      <c r="Y28" s="170"/>
      <c r="Z28" s="170"/>
    </row>
    <row r="29">
      <c r="A29" s="203" t="s">
        <v>3</v>
      </c>
      <c r="F29" s="15"/>
      <c r="G29" s="170"/>
      <c r="H29" s="170"/>
      <c r="I29" s="170"/>
      <c r="J29" s="170"/>
      <c r="K29" s="170"/>
      <c r="L29" s="170"/>
      <c r="M29" s="170"/>
      <c r="N29" s="170"/>
      <c r="O29" s="170"/>
      <c r="P29" s="170"/>
      <c r="Q29" s="170"/>
      <c r="R29" s="170"/>
      <c r="S29" s="170"/>
      <c r="T29" s="170"/>
      <c r="U29" s="170"/>
      <c r="V29" s="170"/>
      <c r="W29" s="170"/>
      <c r="X29" s="170"/>
      <c r="Y29" s="170"/>
      <c r="Z29" s="170"/>
    </row>
    <row r="30">
      <c r="A30" s="225" t="s">
        <v>188</v>
      </c>
      <c r="B30" s="211"/>
      <c r="C30" s="211"/>
      <c r="D30" s="211"/>
      <c r="E30" s="211"/>
      <c r="F30" s="91"/>
      <c r="G30" s="170"/>
      <c r="H30" s="170"/>
      <c r="I30" s="170"/>
      <c r="J30" s="170"/>
      <c r="K30" s="170"/>
      <c r="L30" s="170"/>
      <c r="M30" s="170"/>
      <c r="N30" s="170"/>
      <c r="O30" s="170"/>
      <c r="P30" s="170"/>
      <c r="Q30" s="170"/>
      <c r="R30" s="170"/>
      <c r="S30" s="170"/>
      <c r="T30" s="170"/>
      <c r="U30" s="170"/>
      <c r="V30" s="170"/>
      <c r="W30" s="170"/>
      <c r="X30" s="170"/>
      <c r="Y30" s="170"/>
      <c r="Z30" s="170"/>
    </row>
    <row r="31" ht="26.25" customHeight="1">
      <c r="A31" s="227">
        <v>29.6</v>
      </c>
      <c r="B31" s="228">
        <f>B3</f>
        <v>21</v>
      </c>
      <c r="C31" s="229" t="s">
        <v>21</v>
      </c>
      <c r="D31" s="230" t="s">
        <v>117</v>
      </c>
      <c r="E31" s="230"/>
      <c r="F31" s="5"/>
      <c r="G31" s="170"/>
      <c r="H31" s="170"/>
      <c r="I31" s="170"/>
      <c r="J31" s="170"/>
      <c r="K31" s="170"/>
      <c r="L31" s="170"/>
      <c r="M31" s="170"/>
      <c r="N31" s="170"/>
      <c r="O31" s="170"/>
      <c r="P31" s="170"/>
      <c r="Q31" s="170"/>
      <c r="R31" s="170"/>
      <c r="S31" s="170"/>
      <c r="T31" s="170"/>
      <c r="U31" s="170"/>
      <c r="V31" s="170"/>
      <c r="W31" s="170"/>
      <c r="X31" s="170"/>
      <c r="Y31" s="170"/>
      <c r="Z31" s="170"/>
    </row>
    <row r="32" ht="29.25" customHeight="1">
      <c r="A32" s="232" t="s">
        <v>272</v>
      </c>
      <c r="B32" s="211"/>
      <c r="C32" s="211"/>
      <c r="D32" s="91"/>
      <c r="E32" s="277"/>
      <c r="F32" s="335" t="s">
        <v>24</v>
      </c>
      <c r="G32" s="170"/>
      <c r="H32" s="170"/>
      <c r="I32" s="170"/>
      <c r="J32" s="170"/>
      <c r="K32" s="170"/>
      <c r="L32" s="170"/>
      <c r="M32" s="170"/>
      <c r="N32" s="170"/>
      <c r="O32" s="170"/>
      <c r="P32" s="170"/>
      <c r="Q32" s="170"/>
      <c r="R32" s="170"/>
      <c r="S32" s="170"/>
      <c r="T32" s="170"/>
      <c r="U32" s="170"/>
      <c r="V32" s="170"/>
      <c r="W32" s="170"/>
      <c r="X32" s="170"/>
      <c r="Y32" s="170"/>
      <c r="Z32" s="170"/>
    </row>
    <row r="33" ht="31.5" customHeight="1">
      <c r="A33" s="264" t="s">
        <v>176</v>
      </c>
      <c r="B33" s="265" t="s">
        <v>26</v>
      </c>
      <c r="C33" s="265" t="s">
        <v>119</v>
      </c>
      <c r="D33" s="235" t="s">
        <v>220</v>
      </c>
      <c r="E33" s="278" t="s">
        <v>253</v>
      </c>
      <c r="F33" s="336" t="s">
        <v>28</v>
      </c>
      <c r="G33" s="170"/>
      <c r="H33" s="170"/>
      <c r="I33" s="170"/>
      <c r="J33" s="170"/>
      <c r="K33" s="170"/>
      <c r="L33" s="170"/>
      <c r="M33" s="170"/>
      <c r="N33" s="170"/>
      <c r="O33" s="170"/>
      <c r="P33" s="170"/>
      <c r="Q33" s="170"/>
      <c r="R33" s="170"/>
      <c r="S33" s="170"/>
      <c r="T33" s="170"/>
      <c r="U33" s="170"/>
      <c r="V33" s="170"/>
      <c r="W33" s="170"/>
      <c r="X33" s="170"/>
      <c r="Y33" s="170"/>
      <c r="Z33" s="170"/>
    </row>
    <row r="34">
      <c r="A34" s="337" t="s">
        <v>248</v>
      </c>
      <c r="B34" s="338" t="s">
        <v>239</v>
      </c>
      <c r="C34" s="339">
        <f t="shared" ref="C34:C38" si="2">29.6*$B$3</f>
        <v>621.6</v>
      </c>
      <c r="D34" s="340" t="s">
        <v>244</v>
      </c>
      <c r="E34" s="316">
        <v>5.2803025000127E13</v>
      </c>
      <c r="F34" s="341"/>
      <c r="G34" s="170"/>
      <c r="H34" s="170"/>
      <c r="I34" s="170"/>
      <c r="J34" s="170"/>
      <c r="K34" s="170"/>
      <c r="L34" s="170"/>
      <c r="M34" s="170"/>
      <c r="N34" s="170"/>
      <c r="O34" s="170"/>
      <c r="P34" s="170"/>
      <c r="Q34" s="170"/>
      <c r="R34" s="170"/>
      <c r="S34" s="170"/>
      <c r="T34" s="170"/>
      <c r="U34" s="170"/>
      <c r="V34" s="170"/>
      <c r="W34" s="170"/>
      <c r="X34" s="170"/>
      <c r="Y34" s="170"/>
      <c r="Z34" s="170"/>
    </row>
    <row r="35">
      <c r="A35" s="249" t="s">
        <v>249</v>
      </c>
      <c r="B35" s="251" t="s">
        <v>250</v>
      </c>
      <c r="C35" s="268">
        <f t="shared" si="2"/>
        <v>621.6</v>
      </c>
      <c r="D35" s="270" t="s">
        <v>244</v>
      </c>
      <c r="E35" s="281">
        <v>5.2803025000127E13</v>
      </c>
      <c r="F35" s="342"/>
    </row>
    <row r="36">
      <c r="A36" s="337" t="s">
        <v>267</v>
      </c>
      <c r="B36" s="340" t="s">
        <v>268</v>
      </c>
      <c r="C36" s="339">
        <f t="shared" si="2"/>
        <v>621.6</v>
      </c>
      <c r="D36" s="340" t="s">
        <v>244</v>
      </c>
      <c r="E36" s="316">
        <v>5.2803025000127E13</v>
      </c>
      <c r="F36" s="299"/>
    </row>
    <row r="37">
      <c r="A37" s="163" t="s">
        <v>80</v>
      </c>
      <c r="B37" s="255" t="s">
        <v>81</v>
      </c>
      <c r="C37" s="268">
        <f t="shared" si="2"/>
        <v>621.6</v>
      </c>
      <c r="D37" s="270" t="s">
        <v>244</v>
      </c>
      <c r="E37" s="281">
        <v>5.2803025000127E13</v>
      </c>
      <c r="F37" s="276"/>
    </row>
    <row r="38">
      <c r="A38" s="343" t="s">
        <v>282</v>
      </c>
      <c r="B38" s="340" t="s">
        <v>291</v>
      </c>
      <c r="C38" s="339">
        <f t="shared" si="2"/>
        <v>621.6</v>
      </c>
      <c r="D38" s="307" t="s">
        <v>244</v>
      </c>
      <c r="E38" s="318">
        <v>5.2803025000127E13</v>
      </c>
      <c r="F38" s="314"/>
      <c r="G38" s="170"/>
      <c r="H38" s="170"/>
      <c r="I38" s="170"/>
      <c r="J38" s="170"/>
      <c r="K38" s="170"/>
      <c r="L38" s="170"/>
      <c r="M38" s="170"/>
      <c r="N38" s="170"/>
      <c r="O38" s="170"/>
      <c r="P38" s="170"/>
      <c r="Q38" s="170"/>
      <c r="R38" s="170"/>
      <c r="S38" s="170"/>
      <c r="T38" s="170"/>
      <c r="U38" s="170"/>
      <c r="V38" s="170"/>
      <c r="W38" s="170"/>
      <c r="X38" s="170"/>
      <c r="Y38" s="170"/>
      <c r="Z38" s="170"/>
    </row>
    <row r="39">
      <c r="A39" s="163" t="s">
        <v>59</v>
      </c>
      <c r="B39" s="255" t="s">
        <v>60</v>
      </c>
      <c r="C39" s="268">
        <f>29.6*20</f>
        <v>592</v>
      </c>
      <c r="D39" s="270" t="s">
        <v>244</v>
      </c>
      <c r="E39" s="281">
        <v>5.2803025000127E13</v>
      </c>
      <c r="F39" s="313" t="s">
        <v>292</v>
      </c>
    </row>
    <row r="40">
      <c r="A40" s="343" t="s">
        <v>280</v>
      </c>
      <c r="B40" s="340" t="s">
        <v>293</v>
      </c>
      <c r="C40" s="339">
        <f t="shared" ref="C40:C43" si="3">29.6*$B$3</f>
        <v>621.6</v>
      </c>
      <c r="D40" s="307" t="s">
        <v>244</v>
      </c>
      <c r="E40" s="318">
        <v>5.2803025000127E13</v>
      </c>
      <c r="F40" s="314"/>
      <c r="G40" s="170"/>
      <c r="H40" s="170"/>
      <c r="I40" s="170"/>
      <c r="J40" s="170"/>
      <c r="K40" s="170"/>
      <c r="L40" s="170"/>
      <c r="M40" s="170"/>
      <c r="N40" s="170"/>
      <c r="O40" s="170"/>
      <c r="P40" s="170"/>
      <c r="Q40" s="170"/>
      <c r="R40" s="170"/>
      <c r="S40" s="170"/>
      <c r="T40" s="170"/>
      <c r="U40" s="170"/>
      <c r="V40" s="170"/>
      <c r="W40" s="170"/>
      <c r="X40" s="170"/>
      <c r="Y40" s="170"/>
      <c r="Z40" s="170"/>
    </row>
    <row r="41">
      <c r="A41" s="249" t="s">
        <v>270</v>
      </c>
      <c r="B41" s="251" t="s">
        <v>271</v>
      </c>
      <c r="C41" s="268">
        <f t="shared" si="3"/>
        <v>621.6</v>
      </c>
      <c r="D41" s="270" t="s">
        <v>244</v>
      </c>
      <c r="E41" s="281">
        <v>5.2803025000127E13</v>
      </c>
      <c r="F41" s="344"/>
    </row>
    <row r="42">
      <c r="A42" s="343" t="s">
        <v>134</v>
      </c>
      <c r="B42" s="345" t="s">
        <v>236</v>
      </c>
      <c r="C42" s="339">
        <f t="shared" si="3"/>
        <v>621.6</v>
      </c>
      <c r="D42" s="340" t="s">
        <v>244</v>
      </c>
      <c r="E42" s="316">
        <v>5.2803025000127E13</v>
      </c>
      <c r="F42" s="346"/>
    </row>
    <row r="43">
      <c r="A43" s="249" t="s">
        <v>241</v>
      </c>
      <c r="B43" s="251" t="s">
        <v>242</v>
      </c>
      <c r="C43" s="268">
        <f t="shared" si="3"/>
        <v>621.6</v>
      </c>
      <c r="D43" s="270" t="s">
        <v>244</v>
      </c>
      <c r="E43" s="281">
        <v>5.2803025000127E13</v>
      </c>
      <c r="F43" s="348"/>
    </row>
    <row r="44">
      <c r="A44" s="249"/>
      <c r="B44" s="251"/>
      <c r="C44" s="268"/>
      <c r="D44" s="270"/>
      <c r="E44" s="281"/>
      <c r="F44" s="348"/>
    </row>
    <row r="45">
      <c r="A45" s="290" t="s">
        <v>288</v>
      </c>
      <c r="B45" s="290"/>
      <c r="C45" s="257">
        <f>SUM(C34:C43)</f>
        <v>6186.4</v>
      </c>
      <c r="D45" s="218"/>
      <c r="E45" s="218"/>
      <c r="F45" s="218"/>
    </row>
  </sheetData>
  <mergeCells count="7">
    <mergeCell ref="A1:F1"/>
    <mergeCell ref="A2:F2"/>
    <mergeCell ref="A4:D4"/>
    <mergeCell ref="A28:B28"/>
    <mergeCell ref="A29:F29"/>
    <mergeCell ref="A30:F30"/>
    <mergeCell ref="A32:D32"/>
  </mergeCells>
  <printOptions gridLines="1" horizontalCentered="1"/>
  <pageMargins bottom="0.75" footer="0.0" header="0.0" left="0.25" right="0.25" top="0.75"/>
  <pageSetup paperSize="9" cellComments="atEnd" orientation="landscape" pageOrder="overThenDown"/>
  <drawing r:id="rId1"/>
  <tableParts count="2">
    <tablePart r:id="rId4"/>
    <tablePart r:id="rId5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22.88"/>
    <col customWidth="1" min="2" max="2" width="14.25"/>
    <col customWidth="1" min="3" max="3" width="10.38"/>
    <col customWidth="1" min="4" max="4" width="9.13"/>
    <col customWidth="1" min="5" max="5" width="14.88"/>
    <col customWidth="1" min="6" max="6" width="47.5"/>
  </cols>
  <sheetData>
    <row r="1" ht="21.75" customHeight="1">
      <c r="A1" s="203" t="s">
        <v>3</v>
      </c>
      <c r="F1" s="15"/>
    </row>
    <row r="2">
      <c r="A2" s="225" t="s">
        <v>198</v>
      </c>
      <c r="B2" s="211"/>
      <c r="C2" s="211"/>
      <c r="D2" s="211"/>
      <c r="E2" s="211"/>
      <c r="F2" s="91"/>
      <c r="G2" s="275" t="s">
        <v>173</v>
      </c>
    </row>
    <row r="3" ht="24.0" customHeight="1">
      <c r="A3" s="227">
        <v>29.6</v>
      </c>
      <c r="B3" s="228">
        <v>20.0</v>
      </c>
      <c r="C3" s="229" t="s">
        <v>21</v>
      </c>
      <c r="D3" s="230"/>
      <c r="E3" s="230"/>
      <c r="F3" s="5"/>
      <c r="G3" s="292">
        <f>C24+C43</f>
        <v>13912</v>
      </c>
    </row>
    <row r="4" ht="31.5" customHeight="1">
      <c r="A4" s="232" t="s">
        <v>287</v>
      </c>
      <c r="B4" s="211"/>
      <c r="C4" s="211"/>
      <c r="D4" s="91"/>
      <c r="E4" s="277"/>
      <c r="F4" s="293" t="s">
        <v>24</v>
      </c>
    </row>
    <row r="5" ht="24.75" customHeight="1">
      <c r="A5" s="49" t="s">
        <v>176</v>
      </c>
      <c r="B5" s="50" t="s">
        <v>26</v>
      </c>
      <c r="C5" s="50" t="s">
        <v>119</v>
      </c>
      <c r="D5" s="235" t="s">
        <v>220</v>
      </c>
      <c r="E5" s="278" t="s">
        <v>253</v>
      </c>
      <c r="F5" s="52" t="s">
        <v>28</v>
      </c>
    </row>
    <row r="6">
      <c r="A6" s="294" t="s">
        <v>33</v>
      </c>
      <c r="B6" s="295" t="s">
        <v>34</v>
      </c>
      <c r="C6" s="296">
        <f t="shared" ref="C6:C7" si="1">29.6*$B$3</f>
        <v>592</v>
      </c>
      <c r="D6" s="297" t="s">
        <v>244</v>
      </c>
      <c r="E6" s="298">
        <v>5.393606000158E12</v>
      </c>
      <c r="F6" s="299"/>
    </row>
    <row r="7">
      <c r="A7" s="133" t="s">
        <v>35</v>
      </c>
      <c r="B7" s="134" t="s">
        <v>36</v>
      </c>
      <c r="C7" s="135">
        <f t="shared" si="1"/>
        <v>592</v>
      </c>
      <c r="D7" s="239" t="s">
        <v>244</v>
      </c>
      <c r="E7" s="279">
        <v>5.393606000158E12</v>
      </c>
      <c r="F7" s="300"/>
    </row>
    <row r="8">
      <c r="A8" s="301" t="s">
        <v>264</v>
      </c>
      <c r="B8" s="302" t="s">
        <v>265</v>
      </c>
      <c r="C8" s="296">
        <v>0.0</v>
      </c>
      <c r="D8" s="297" t="s">
        <v>244</v>
      </c>
      <c r="E8" s="298">
        <v>5.393606000158E12</v>
      </c>
      <c r="F8" s="303" t="s">
        <v>289</v>
      </c>
    </row>
    <row r="9">
      <c r="A9" s="243" t="s">
        <v>234</v>
      </c>
      <c r="B9" s="280" t="s">
        <v>235</v>
      </c>
      <c r="C9" s="135">
        <f t="shared" ref="C9:C10" si="2">29.6*$B$3</f>
        <v>592</v>
      </c>
      <c r="D9" s="280" t="s">
        <v>244</v>
      </c>
      <c r="E9" s="304">
        <v>5.393606000158E12</v>
      </c>
      <c r="F9" s="300"/>
      <c r="G9" s="170"/>
      <c r="H9" s="170"/>
      <c r="I9" s="170"/>
      <c r="J9" s="170"/>
      <c r="K9" s="170"/>
      <c r="L9" s="170"/>
      <c r="M9" s="170"/>
      <c r="N9" s="170"/>
      <c r="O9" s="170"/>
      <c r="P9" s="170"/>
      <c r="Q9" s="170"/>
      <c r="R9" s="170"/>
      <c r="S9" s="170"/>
      <c r="T9" s="170"/>
      <c r="U9" s="170"/>
      <c r="V9" s="170"/>
      <c r="W9" s="170"/>
      <c r="X9" s="170"/>
      <c r="Y9" s="170"/>
      <c r="Z9" s="170"/>
    </row>
    <row r="10">
      <c r="A10" s="306" t="s">
        <v>203</v>
      </c>
      <c r="B10" s="307" t="s">
        <v>204</v>
      </c>
      <c r="C10" s="296">
        <f t="shared" si="2"/>
        <v>592</v>
      </c>
      <c r="D10" s="307" t="s">
        <v>244</v>
      </c>
      <c r="E10" s="308">
        <v>5.393606000158E12</v>
      </c>
      <c r="F10" s="303"/>
      <c r="G10" s="170"/>
      <c r="H10" s="170"/>
      <c r="I10" s="170"/>
      <c r="J10" s="170"/>
      <c r="K10" s="170"/>
      <c r="L10" s="170"/>
      <c r="M10" s="170"/>
      <c r="N10" s="170"/>
      <c r="O10" s="170"/>
      <c r="P10" s="170"/>
      <c r="Q10" s="170"/>
      <c r="R10" s="170"/>
      <c r="S10" s="170"/>
      <c r="T10" s="170"/>
      <c r="U10" s="170"/>
      <c r="V10" s="170"/>
      <c r="W10" s="170"/>
      <c r="X10" s="170"/>
      <c r="Y10" s="170"/>
      <c r="Z10" s="170"/>
    </row>
    <row r="11">
      <c r="A11" s="133" t="s">
        <v>55</v>
      </c>
      <c r="B11" s="134" t="s">
        <v>56</v>
      </c>
      <c r="C11" s="135">
        <v>0.0</v>
      </c>
      <c r="D11" s="239" t="s">
        <v>244</v>
      </c>
      <c r="E11" s="279">
        <v>5.393606000158E12</v>
      </c>
      <c r="F11" s="300" t="s">
        <v>290</v>
      </c>
    </row>
    <row r="12">
      <c r="A12" s="301" t="s">
        <v>275</v>
      </c>
      <c r="B12" s="302" t="s">
        <v>281</v>
      </c>
      <c r="C12" s="296">
        <f t="shared" ref="C12:C20" si="3">29.6*$B$3</f>
        <v>592</v>
      </c>
      <c r="D12" s="297" t="s">
        <v>244</v>
      </c>
      <c r="E12" s="298">
        <v>5.393606000158E12</v>
      </c>
      <c r="F12" s="303"/>
    </row>
    <row r="13">
      <c r="A13" s="142" t="s">
        <v>147</v>
      </c>
      <c r="B13" s="143" t="s">
        <v>148</v>
      </c>
      <c r="C13" s="135">
        <f t="shared" si="3"/>
        <v>592</v>
      </c>
      <c r="D13" s="239" t="s">
        <v>244</v>
      </c>
      <c r="E13" s="279">
        <v>5.393606000158E12</v>
      </c>
      <c r="F13" s="300"/>
    </row>
    <row r="14">
      <c r="A14" s="294" t="s">
        <v>61</v>
      </c>
      <c r="B14" s="295" t="s">
        <v>62</v>
      </c>
      <c r="C14" s="296">
        <f t="shared" si="3"/>
        <v>592</v>
      </c>
      <c r="D14" s="297" t="s">
        <v>244</v>
      </c>
      <c r="E14" s="298">
        <v>5.393606000158E12</v>
      </c>
      <c r="F14" s="303"/>
    </row>
    <row r="15">
      <c r="A15" s="310" t="s">
        <v>276</v>
      </c>
      <c r="B15" s="311" t="s">
        <v>283</v>
      </c>
      <c r="C15" s="135">
        <f t="shared" si="3"/>
        <v>592</v>
      </c>
      <c r="D15" s="239" t="s">
        <v>244</v>
      </c>
      <c r="E15" s="279">
        <v>5.393606000158E12</v>
      </c>
      <c r="F15" s="300"/>
    </row>
    <row r="16">
      <c r="A16" s="190" t="s">
        <v>164</v>
      </c>
      <c r="B16" s="191" t="s">
        <v>165</v>
      </c>
      <c r="C16" s="135">
        <f t="shared" si="3"/>
        <v>592</v>
      </c>
      <c r="D16" s="239" t="s">
        <v>244</v>
      </c>
      <c r="E16" s="279">
        <v>5.393606000158E12</v>
      </c>
      <c r="F16" s="313"/>
    </row>
    <row r="17">
      <c r="A17" s="306" t="s">
        <v>212</v>
      </c>
      <c r="B17" s="307" t="s">
        <v>213</v>
      </c>
      <c r="C17" s="296">
        <f t="shared" si="3"/>
        <v>592</v>
      </c>
      <c r="D17" s="307" t="s">
        <v>244</v>
      </c>
      <c r="E17" s="308">
        <v>5.393606000158E12</v>
      </c>
      <c r="F17" s="314"/>
      <c r="G17" s="170"/>
      <c r="H17" s="170"/>
      <c r="I17" s="170"/>
      <c r="J17" s="170"/>
      <c r="K17" s="170"/>
      <c r="L17" s="170"/>
      <c r="M17" s="170"/>
      <c r="N17" s="170"/>
      <c r="O17" s="170"/>
      <c r="P17" s="170"/>
      <c r="Q17" s="170"/>
      <c r="R17" s="170"/>
      <c r="S17" s="170"/>
      <c r="T17" s="170"/>
      <c r="U17" s="170"/>
      <c r="V17" s="170"/>
      <c r="W17" s="170"/>
      <c r="X17" s="170"/>
      <c r="Y17" s="170"/>
      <c r="Z17" s="170"/>
    </row>
    <row r="18">
      <c r="A18" s="193" t="s">
        <v>114</v>
      </c>
      <c r="B18" s="194" t="s">
        <v>115</v>
      </c>
      <c r="C18" s="135">
        <f t="shared" si="3"/>
        <v>592</v>
      </c>
      <c r="D18" s="239" t="s">
        <v>244</v>
      </c>
      <c r="E18" s="279">
        <v>5.393606000158E12</v>
      </c>
      <c r="F18" s="347" t="s">
        <v>294</v>
      </c>
    </row>
    <row r="19">
      <c r="A19" s="315" t="s">
        <v>171</v>
      </c>
      <c r="B19" s="316" t="s">
        <v>224</v>
      </c>
      <c r="C19" s="296">
        <f t="shared" si="3"/>
        <v>592</v>
      </c>
      <c r="D19" s="297" t="s">
        <v>244</v>
      </c>
      <c r="E19" s="298">
        <v>5.393606000158E12</v>
      </c>
      <c r="F19" s="352" t="s">
        <v>296</v>
      </c>
    </row>
    <row r="20">
      <c r="A20" s="193" t="s">
        <v>167</v>
      </c>
      <c r="B20" s="196" t="s">
        <v>201</v>
      </c>
      <c r="C20" s="135">
        <f t="shared" si="3"/>
        <v>592</v>
      </c>
      <c r="D20" s="239" t="s">
        <v>244</v>
      </c>
      <c r="E20" s="279">
        <v>5.393606000158E12</v>
      </c>
      <c r="F20" s="313"/>
    </row>
    <row r="21">
      <c r="A21" s="315" t="s">
        <v>77</v>
      </c>
      <c r="B21" s="318" t="s">
        <v>78</v>
      </c>
      <c r="C21" s="296">
        <f>29.6*10</f>
        <v>296</v>
      </c>
      <c r="D21" s="297" t="s">
        <v>244</v>
      </c>
      <c r="E21" s="298">
        <v>5.393606000158E12</v>
      </c>
      <c r="F21" s="319" t="s">
        <v>297</v>
      </c>
    </row>
    <row r="22">
      <c r="A22" s="193" t="s">
        <v>172</v>
      </c>
      <c r="B22" s="196" t="s">
        <v>232</v>
      </c>
      <c r="C22" s="296">
        <f>29.6*$B$3</f>
        <v>592</v>
      </c>
      <c r="D22" s="239" t="s">
        <v>244</v>
      </c>
      <c r="E22" s="279">
        <v>5.393606000158E12</v>
      </c>
      <c r="F22" s="313"/>
    </row>
    <row r="23">
      <c r="A23" s="320"/>
      <c r="B23" s="199"/>
      <c r="C23" s="135"/>
      <c r="D23" s="321"/>
      <c r="E23" s="322"/>
      <c r="F23" s="323"/>
    </row>
    <row r="24">
      <c r="A24" s="324" t="s">
        <v>288</v>
      </c>
      <c r="B24" s="325"/>
      <c r="C24" s="326">
        <f>SUM(C6:C22)</f>
        <v>8584</v>
      </c>
      <c r="D24" s="321"/>
      <c r="E24" s="322"/>
      <c r="F24" s="327"/>
    </row>
    <row r="25">
      <c r="A25" s="328"/>
      <c r="B25" s="329"/>
      <c r="C25" s="330"/>
      <c r="D25" s="331"/>
      <c r="E25" s="331"/>
      <c r="F25" s="332"/>
      <c r="G25" s="287"/>
    </row>
    <row r="26">
      <c r="A26" s="333"/>
      <c r="B26" s="333"/>
      <c r="C26" s="334"/>
      <c r="D26" s="262"/>
      <c r="E26" s="262"/>
      <c r="F26" s="262"/>
      <c r="G26" s="170"/>
      <c r="H26" s="170"/>
      <c r="I26" s="170"/>
      <c r="J26" s="170"/>
      <c r="K26" s="170"/>
      <c r="L26" s="170"/>
      <c r="M26" s="170"/>
      <c r="N26" s="170"/>
      <c r="O26" s="170"/>
      <c r="P26" s="170"/>
      <c r="Q26" s="170"/>
      <c r="R26" s="170"/>
      <c r="S26" s="170"/>
      <c r="T26" s="170"/>
      <c r="U26" s="170"/>
      <c r="V26" s="170"/>
      <c r="W26" s="170"/>
      <c r="X26" s="170"/>
      <c r="Y26" s="170"/>
      <c r="Z26" s="170"/>
    </row>
    <row r="27">
      <c r="A27" s="333"/>
      <c r="C27" s="334"/>
      <c r="D27" s="262"/>
      <c r="E27" s="262"/>
      <c r="F27" s="262"/>
      <c r="G27" s="170"/>
      <c r="H27" s="170"/>
      <c r="I27" s="170"/>
      <c r="J27" s="170"/>
      <c r="K27" s="170"/>
      <c r="L27" s="170"/>
      <c r="M27" s="170"/>
      <c r="N27" s="170"/>
      <c r="O27" s="170"/>
      <c r="P27" s="170"/>
      <c r="Q27" s="170"/>
      <c r="R27" s="170"/>
      <c r="S27" s="170"/>
      <c r="T27" s="170"/>
      <c r="U27" s="170"/>
      <c r="V27" s="170"/>
      <c r="W27" s="170"/>
      <c r="X27" s="170"/>
      <c r="Y27" s="170"/>
      <c r="Z27" s="170"/>
    </row>
    <row r="28">
      <c r="A28" s="203" t="s">
        <v>3</v>
      </c>
      <c r="F28" s="15"/>
      <c r="G28" s="170"/>
      <c r="H28" s="170"/>
      <c r="I28" s="170"/>
      <c r="J28" s="170"/>
      <c r="K28" s="170"/>
      <c r="L28" s="170"/>
      <c r="M28" s="170"/>
      <c r="N28" s="170"/>
      <c r="O28" s="170"/>
      <c r="P28" s="170"/>
      <c r="Q28" s="170"/>
      <c r="R28" s="170"/>
      <c r="S28" s="170"/>
      <c r="T28" s="170"/>
      <c r="U28" s="170"/>
      <c r="V28" s="170"/>
      <c r="W28" s="170"/>
      <c r="X28" s="170"/>
      <c r="Y28" s="170"/>
      <c r="Z28" s="170"/>
    </row>
    <row r="29">
      <c r="A29" s="225" t="s">
        <v>188</v>
      </c>
      <c r="B29" s="211"/>
      <c r="C29" s="211"/>
      <c r="D29" s="211"/>
      <c r="E29" s="211"/>
      <c r="F29" s="91"/>
      <c r="G29" s="170"/>
      <c r="H29" s="170"/>
      <c r="I29" s="170"/>
      <c r="J29" s="170"/>
      <c r="K29" s="170"/>
      <c r="L29" s="170"/>
      <c r="M29" s="170"/>
      <c r="N29" s="170"/>
      <c r="O29" s="170"/>
      <c r="P29" s="170"/>
      <c r="Q29" s="170"/>
      <c r="R29" s="170"/>
      <c r="S29" s="170"/>
      <c r="T29" s="170"/>
      <c r="U29" s="170"/>
      <c r="V29" s="170"/>
      <c r="W29" s="170"/>
      <c r="X29" s="170"/>
      <c r="Y29" s="170"/>
      <c r="Z29" s="170"/>
    </row>
    <row r="30" ht="26.25" customHeight="1">
      <c r="A30" s="227">
        <v>29.6</v>
      </c>
      <c r="B30" s="228">
        <f>B3</f>
        <v>20</v>
      </c>
      <c r="C30" s="229" t="s">
        <v>21</v>
      </c>
      <c r="D30" s="230" t="s">
        <v>117</v>
      </c>
      <c r="E30" s="230"/>
      <c r="F30" s="5"/>
      <c r="G30" s="170"/>
      <c r="H30" s="170"/>
      <c r="I30" s="170"/>
      <c r="J30" s="170"/>
      <c r="K30" s="170"/>
      <c r="L30" s="170"/>
      <c r="M30" s="170"/>
      <c r="N30" s="170"/>
      <c r="O30" s="170"/>
      <c r="P30" s="170"/>
      <c r="Q30" s="170"/>
      <c r="R30" s="170"/>
      <c r="S30" s="170"/>
      <c r="T30" s="170"/>
      <c r="U30" s="170"/>
      <c r="V30" s="170"/>
      <c r="W30" s="170"/>
      <c r="X30" s="170"/>
      <c r="Y30" s="170"/>
      <c r="Z30" s="170"/>
    </row>
    <row r="31" ht="29.25" customHeight="1">
      <c r="A31" s="232" t="s">
        <v>287</v>
      </c>
      <c r="B31" s="211"/>
      <c r="C31" s="211"/>
      <c r="D31" s="91"/>
      <c r="E31" s="277"/>
      <c r="F31" s="335" t="s">
        <v>24</v>
      </c>
      <c r="G31" s="170"/>
      <c r="H31" s="170"/>
      <c r="I31" s="170"/>
      <c r="J31" s="170"/>
      <c r="K31" s="170"/>
      <c r="L31" s="170"/>
      <c r="M31" s="170"/>
      <c r="N31" s="170"/>
      <c r="O31" s="170"/>
      <c r="P31" s="170"/>
      <c r="Q31" s="170"/>
      <c r="R31" s="170"/>
      <c r="S31" s="170"/>
      <c r="T31" s="170"/>
      <c r="U31" s="170"/>
      <c r="V31" s="170"/>
      <c r="W31" s="170"/>
      <c r="X31" s="170"/>
      <c r="Y31" s="170"/>
      <c r="Z31" s="170"/>
    </row>
    <row r="32" ht="31.5" customHeight="1">
      <c r="A32" s="264" t="s">
        <v>176</v>
      </c>
      <c r="B32" s="265" t="s">
        <v>26</v>
      </c>
      <c r="C32" s="265" t="s">
        <v>119</v>
      </c>
      <c r="D32" s="235" t="s">
        <v>220</v>
      </c>
      <c r="E32" s="278" t="s">
        <v>253</v>
      </c>
      <c r="F32" s="336" t="s">
        <v>28</v>
      </c>
      <c r="G32" s="170"/>
      <c r="H32" s="170"/>
      <c r="I32" s="170"/>
      <c r="J32" s="170"/>
      <c r="K32" s="170"/>
      <c r="L32" s="170"/>
      <c r="M32" s="170"/>
      <c r="N32" s="170"/>
      <c r="O32" s="170"/>
      <c r="P32" s="170"/>
      <c r="Q32" s="170"/>
      <c r="R32" s="170"/>
      <c r="S32" s="170"/>
      <c r="T32" s="170"/>
      <c r="U32" s="170"/>
      <c r="V32" s="170"/>
      <c r="W32" s="170"/>
      <c r="X32" s="170"/>
      <c r="Y32" s="170"/>
      <c r="Z32" s="170"/>
    </row>
    <row r="33">
      <c r="A33" s="337" t="s">
        <v>248</v>
      </c>
      <c r="B33" s="338" t="s">
        <v>239</v>
      </c>
      <c r="C33" s="339">
        <f t="shared" ref="C33:C36" si="4">29.6*$B$3</f>
        <v>592</v>
      </c>
      <c r="D33" s="340" t="s">
        <v>244</v>
      </c>
      <c r="E33" s="316">
        <v>5.2803025000127E13</v>
      </c>
      <c r="F33" s="341"/>
      <c r="G33" s="170"/>
      <c r="H33" s="170"/>
      <c r="I33" s="170"/>
      <c r="J33" s="170"/>
      <c r="K33" s="170"/>
      <c r="L33" s="170"/>
      <c r="M33" s="170"/>
      <c r="N33" s="170"/>
      <c r="O33" s="170"/>
      <c r="P33" s="170"/>
      <c r="Q33" s="170"/>
      <c r="R33" s="170"/>
      <c r="S33" s="170"/>
      <c r="T33" s="170"/>
      <c r="U33" s="170"/>
      <c r="V33" s="170"/>
      <c r="W33" s="170"/>
      <c r="X33" s="170"/>
      <c r="Y33" s="170"/>
      <c r="Z33" s="170"/>
    </row>
    <row r="34">
      <c r="A34" s="249" t="s">
        <v>249</v>
      </c>
      <c r="B34" s="251" t="s">
        <v>250</v>
      </c>
      <c r="C34" s="268">
        <f t="shared" si="4"/>
        <v>592</v>
      </c>
      <c r="D34" s="270" t="s">
        <v>244</v>
      </c>
      <c r="E34" s="281">
        <v>5.2803025000127E13</v>
      </c>
      <c r="F34" s="342"/>
    </row>
    <row r="35">
      <c r="A35" s="337" t="s">
        <v>267</v>
      </c>
      <c r="B35" s="340" t="s">
        <v>268</v>
      </c>
      <c r="C35" s="339">
        <f t="shared" si="4"/>
        <v>592</v>
      </c>
      <c r="D35" s="340" t="s">
        <v>244</v>
      </c>
      <c r="E35" s="316">
        <v>5.2803025000127E13</v>
      </c>
      <c r="F35" s="299"/>
    </row>
    <row r="36">
      <c r="A36" s="163" t="s">
        <v>80</v>
      </c>
      <c r="B36" s="255" t="s">
        <v>81</v>
      </c>
      <c r="C36" s="268">
        <f t="shared" si="4"/>
        <v>592</v>
      </c>
      <c r="D36" s="270" t="s">
        <v>244</v>
      </c>
      <c r="E36" s="281">
        <v>5.2803025000127E13</v>
      </c>
      <c r="F36" s="276"/>
    </row>
    <row r="37">
      <c r="A37" s="163" t="s">
        <v>59</v>
      </c>
      <c r="B37" s="255" t="s">
        <v>60</v>
      </c>
      <c r="C37" s="268">
        <f>29.6*20</f>
        <v>592</v>
      </c>
      <c r="D37" s="270" t="s">
        <v>244</v>
      </c>
      <c r="E37" s="281">
        <v>5.2803025000127E13</v>
      </c>
      <c r="F37" s="313"/>
    </row>
    <row r="38">
      <c r="A38" s="343" t="s">
        <v>280</v>
      </c>
      <c r="B38" s="340" t="s">
        <v>293</v>
      </c>
      <c r="C38" s="339">
        <f t="shared" ref="C38:C41" si="5">29.6*$B$3</f>
        <v>592</v>
      </c>
      <c r="D38" s="307" t="s">
        <v>244</v>
      </c>
      <c r="E38" s="318">
        <v>5.2803025000127E13</v>
      </c>
      <c r="F38" s="314"/>
      <c r="G38" s="170"/>
      <c r="H38" s="170"/>
      <c r="I38" s="170"/>
      <c r="J38" s="170"/>
      <c r="K38" s="170"/>
      <c r="L38" s="170"/>
      <c r="M38" s="170"/>
      <c r="N38" s="170"/>
      <c r="O38" s="170"/>
      <c r="P38" s="170"/>
      <c r="Q38" s="170"/>
      <c r="R38" s="170"/>
      <c r="S38" s="170"/>
      <c r="T38" s="170"/>
      <c r="U38" s="170"/>
      <c r="V38" s="170"/>
      <c r="W38" s="170"/>
      <c r="X38" s="170"/>
      <c r="Y38" s="170"/>
      <c r="Z38" s="170"/>
    </row>
    <row r="39">
      <c r="A39" s="249" t="s">
        <v>270</v>
      </c>
      <c r="B39" s="251" t="s">
        <v>271</v>
      </c>
      <c r="C39" s="268">
        <f t="shared" si="5"/>
        <v>592</v>
      </c>
      <c r="D39" s="270" t="s">
        <v>244</v>
      </c>
      <c r="E39" s="281">
        <v>5.2803025000127E13</v>
      </c>
      <c r="F39" s="344"/>
    </row>
    <row r="40">
      <c r="A40" s="343" t="s">
        <v>134</v>
      </c>
      <c r="B40" s="345" t="s">
        <v>236</v>
      </c>
      <c r="C40" s="339">
        <f t="shared" si="5"/>
        <v>592</v>
      </c>
      <c r="D40" s="340" t="s">
        <v>244</v>
      </c>
      <c r="E40" s="316">
        <v>5.2803025000127E13</v>
      </c>
      <c r="F40" s="346"/>
    </row>
    <row r="41">
      <c r="A41" s="249" t="s">
        <v>241</v>
      </c>
      <c r="B41" s="251" t="s">
        <v>242</v>
      </c>
      <c r="C41" s="268">
        <f t="shared" si="5"/>
        <v>592</v>
      </c>
      <c r="D41" s="270" t="s">
        <v>244</v>
      </c>
      <c r="E41" s="281">
        <v>5.2803025000127E13</v>
      </c>
      <c r="F41" s="348"/>
    </row>
    <row r="42">
      <c r="A42" s="249"/>
      <c r="B42" s="251"/>
      <c r="C42" s="268"/>
      <c r="D42" s="270"/>
      <c r="E42" s="281"/>
      <c r="F42" s="348"/>
    </row>
    <row r="43">
      <c r="A43" s="290" t="s">
        <v>288</v>
      </c>
      <c r="B43" s="290"/>
      <c r="C43" s="257">
        <f>SUM(C33:C41)</f>
        <v>5328</v>
      </c>
      <c r="D43" s="218"/>
      <c r="E43" s="218"/>
      <c r="F43" s="218"/>
    </row>
    <row r="46">
      <c r="A46" s="275" t="s">
        <v>304</v>
      </c>
    </row>
  </sheetData>
  <mergeCells count="7">
    <mergeCell ref="A1:F1"/>
    <mergeCell ref="A2:F2"/>
    <mergeCell ref="A4:D4"/>
    <mergeCell ref="A27:B27"/>
    <mergeCell ref="A28:F28"/>
    <mergeCell ref="A29:F29"/>
    <mergeCell ref="A31:D31"/>
  </mergeCells>
  <printOptions gridLines="1" horizontalCentered="1"/>
  <pageMargins bottom="0.75" footer="0.0" header="0.0" left="0.25" right="0.25" top="0.75"/>
  <pageSetup paperSize="9" cellComments="atEnd" orientation="landscape" pageOrder="overThenDown"/>
  <drawing r:id="rId1"/>
  <tableParts count="2">
    <tablePart r:id="rId4"/>
    <tablePart r:id="rId5"/>
  </tableParts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22.88"/>
    <col customWidth="1" min="2" max="2" width="14.25"/>
    <col customWidth="1" min="3" max="3" width="10.38"/>
    <col customWidth="1" min="4" max="4" width="14.38"/>
    <col customWidth="1" min="5" max="5" width="14.88"/>
    <col customWidth="1" min="6" max="6" width="52.63"/>
  </cols>
  <sheetData>
    <row r="1" ht="21.75" customHeight="1">
      <c r="A1" s="203" t="s">
        <v>3</v>
      </c>
      <c r="F1" s="15"/>
    </row>
    <row r="2">
      <c r="A2" s="225" t="s">
        <v>198</v>
      </c>
      <c r="B2" s="211"/>
      <c r="C2" s="211"/>
      <c r="D2" s="211"/>
      <c r="E2" s="211"/>
      <c r="F2" s="91"/>
      <c r="G2" s="275" t="s">
        <v>173</v>
      </c>
    </row>
    <row r="3" ht="24.0" customHeight="1">
      <c r="A3" s="227">
        <v>29.6</v>
      </c>
      <c r="B3" s="228">
        <v>22.0</v>
      </c>
      <c r="C3" s="229" t="s">
        <v>21</v>
      </c>
      <c r="D3" s="230"/>
      <c r="E3" s="230"/>
      <c r="F3" s="5"/>
      <c r="G3" s="292">
        <f>C23+C42</f>
        <v>15688</v>
      </c>
    </row>
    <row r="4" ht="31.5" customHeight="1">
      <c r="A4" s="232" t="s">
        <v>295</v>
      </c>
      <c r="B4" s="211"/>
      <c r="C4" s="211"/>
      <c r="D4" s="91"/>
      <c r="E4" s="277"/>
      <c r="F4" s="293" t="s">
        <v>24</v>
      </c>
    </row>
    <row r="5" ht="24.75" customHeight="1">
      <c r="A5" s="49" t="s">
        <v>176</v>
      </c>
      <c r="B5" s="50" t="s">
        <v>26</v>
      </c>
      <c r="C5" s="50" t="s">
        <v>119</v>
      </c>
      <c r="D5" s="235" t="s">
        <v>220</v>
      </c>
      <c r="E5" s="278" t="s">
        <v>253</v>
      </c>
      <c r="F5" s="52" t="s">
        <v>28</v>
      </c>
    </row>
    <row r="6">
      <c r="A6" s="349" t="s">
        <v>33</v>
      </c>
      <c r="B6" s="350" t="s">
        <v>34</v>
      </c>
      <c r="C6" s="351">
        <v>651.2</v>
      </c>
      <c r="D6" s="353" t="s">
        <v>244</v>
      </c>
      <c r="E6" s="354">
        <v>5.393606000158E12</v>
      </c>
      <c r="F6" s="355"/>
    </row>
    <row r="7">
      <c r="A7" s="356" t="s">
        <v>35</v>
      </c>
      <c r="B7" s="357" t="s">
        <v>36</v>
      </c>
      <c r="C7" s="358">
        <f t="shared" ref="C7:C15" si="1">29.6*$B$3</f>
        <v>651.2</v>
      </c>
      <c r="D7" s="359" t="s">
        <v>244</v>
      </c>
      <c r="E7" s="360">
        <v>5.393606000158E12</v>
      </c>
      <c r="F7" s="361"/>
    </row>
    <row r="8">
      <c r="A8" s="362" t="s">
        <v>298</v>
      </c>
      <c r="B8" s="363"/>
      <c r="C8" s="351">
        <f t="shared" si="1"/>
        <v>651.2</v>
      </c>
      <c r="D8" s="353" t="s">
        <v>244</v>
      </c>
      <c r="E8" s="354">
        <v>5.393606000158E12</v>
      </c>
      <c r="F8" s="355"/>
      <c r="G8" s="170"/>
      <c r="H8" s="170"/>
      <c r="I8" s="170"/>
      <c r="J8" s="170"/>
      <c r="K8" s="170"/>
      <c r="L8" s="170"/>
      <c r="M8" s="170"/>
      <c r="N8" s="170"/>
      <c r="O8" s="170"/>
      <c r="P8" s="170"/>
      <c r="Q8" s="170"/>
      <c r="R8" s="170"/>
      <c r="S8" s="170"/>
      <c r="T8" s="170"/>
      <c r="U8" s="170"/>
      <c r="V8" s="170"/>
      <c r="W8" s="170"/>
      <c r="X8" s="170"/>
      <c r="Y8" s="170"/>
      <c r="Z8" s="170"/>
    </row>
    <row r="9">
      <c r="A9" s="364" t="s">
        <v>234</v>
      </c>
      <c r="B9" s="365" t="s">
        <v>235</v>
      </c>
      <c r="C9" s="358">
        <f t="shared" si="1"/>
        <v>651.2</v>
      </c>
      <c r="D9" s="365" t="s">
        <v>244</v>
      </c>
      <c r="E9" s="366">
        <v>5.393606000158E12</v>
      </c>
      <c r="F9" s="361"/>
      <c r="G9" s="170"/>
      <c r="H9" s="170"/>
      <c r="I9" s="170"/>
      <c r="J9" s="170"/>
      <c r="K9" s="170"/>
      <c r="L9" s="170"/>
      <c r="M9" s="170"/>
      <c r="N9" s="170"/>
      <c r="O9" s="170"/>
      <c r="P9" s="170"/>
      <c r="Q9" s="170"/>
      <c r="R9" s="170"/>
      <c r="S9" s="170"/>
      <c r="T9" s="170"/>
      <c r="U9" s="170"/>
      <c r="V9" s="170"/>
      <c r="W9" s="170"/>
      <c r="X9" s="170"/>
      <c r="Y9" s="170"/>
      <c r="Z9" s="170"/>
    </row>
    <row r="10">
      <c r="A10" s="362" t="s">
        <v>203</v>
      </c>
      <c r="B10" s="367" t="s">
        <v>204</v>
      </c>
      <c r="C10" s="351">
        <f t="shared" si="1"/>
        <v>651.2</v>
      </c>
      <c r="D10" s="367" t="s">
        <v>244</v>
      </c>
      <c r="E10" s="368">
        <v>5.393606000158E12</v>
      </c>
      <c r="F10" s="355"/>
    </row>
    <row r="11">
      <c r="A11" s="369" t="s">
        <v>275</v>
      </c>
      <c r="B11" s="370" t="s">
        <v>281</v>
      </c>
      <c r="C11" s="358">
        <f t="shared" si="1"/>
        <v>651.2</v>
      </c>
      <c r="D11" s="359" t="s">
        <v>244</v>
      </c>
      <c r="E11" s="360">
        <v>5.393606000158E12</v>
      </c>
      <c r="F11" s="361"/>
    </row>
    <row r="12">
      <c r="A12" s="371" t="s">
        <v>147</v>
      </c>
      <c r="B12" s="372" t="s">
        <v>148</v>
      </c>
      <c r="C12" s="351">
        <f t="shared" si="1"/>
        <v>651.2</v>
      </c>
      <c r="D12" s="353" t="s">
        <v>244</v>
      </c>
      <c r="E12" s="354">
        <v>5.393606000158E12</v>
      </c>
      <c r="F12" s="355"/>
    </row>
    <row r="13">
      <c r="A13" s="373" t="s">
        <v>61</v>
      </c>
      <c r="B13" s="374" t="s">
        <v>62</v>
      </c>
      <c r="C13" s="358">
        <f t="shared" si="1"/>
        <v>651.2</v>
      </c>
      <c r="D13" s="359" t="s">
        <v>244</v>
      </c>
      <c r="E13" s="360">
        <v>5.393606000158E12</v>
      </c>
      <c r="F13" s="361"/>
    </row>
    <row r="14">
      <c r="A14" s="375" t="s">
        <v>276</v>
      </c>
      <c r="B14" s="376" t="s">
        <v>283</v>
      </c>
      <c r="C14" s="351">
        <f t="shared" si="1"/>
        <v>651.2</v>
      </c>
      <c r="D14" s="353" t="s">
        <v>244</v>
      </c>
      <c r="E14" s="354">
        <v>5.393606000158E12</v>
      </c>
      <c r="F14" s="355"/>
    </row>
    <row r="15">
      <c r="A15" s="364" t="s">
        <v>299</v>
      </c>
      <c r="B15" s="377"/>
      <c r="C15" s="358">
        <f t="shared" si="1"/>
        <v>651.2</v>
      </c>
      <c r="D15" s="359" t="s">
        <v>244</v>
      </c>
      <c r="E15" s="360">
        <v>5.393606000158E12</v>
      </c>
      <c r="F15" s="378"/>
      <c r="G15" s="170"/>
      <c r="H15" s="170"/>
      <c r="I15" s="170"/>
      <c r="J15" s="170"/>
      <c r="K15" s="170"/>
      <c r="L15" s="170"/>
      <c r="M15" s="170"/>
      <c r="N15" s="170"/>
      <c r="O15" s="170"/>
      <c r="P15" s="170"/>
      <c r="Q15" s="170"/>
      <c r="R15" s="170"/>
      <c r="S15" s="170"/>
      <c r="T15" s="170"/>
      <c r="U15" s="170"/>
      <c r="V15" s="170"/>
      <c r="W15" s="170"/>
      <c r="X15" s="170"/>
      <c r="Y15" s="170"/>
      <c r="Z15" s="170"/>
    </row>
    <row r="16">
      <c r="A16" s="379" t="s">
        <v>164</v>
      </c>
      <c r="B16" s="380" t="s">
        <v>165</v>
      </c>
      <c r="C16" s="351">
        <v>0.0</v>
      </c>
      <c r="D16" s="353" t="s">
        <v>244</v>
      </c>
      <c r="E16" s="354">
        <v>5.393606000158E12</v>
      </c>
      <c r="F16" s="381" t="s">
        <v>300</v>
      </c>
    </row>
    <row r="17">
      <c r="A17" s="382" t="s">
        <v>212</v>
      </c>
      <c r="B17" s="383" t="s">
        <v>213</v>
      </c>
      <c r="C17" s="358">
        <f>29.6*$B$3</f>
        <v>651.2</v>
      </c>
      <c r="D17" s="365" t="s">
        <v>244</v>
      </c>
      <c r="E17" s="366">
        <v>5.393606000158E12</v>
      </c>
      <c r="F17" s="382"/>
    </row>
    <row r="18">
      <c r="A18" s="379" t="s">
        <v>171</v>
      </c>
      <c r="B18" s="384" t="s">
        <v>224</v>
      </c>
      <c r="C18" s="351">
        <f>29.6*2</f>
        <v>59.2</v>
      </c>
      <c r="D18" s="353" t="s">
        <v>244</v>
      </c>
      <c r="E18" s="354">
        <v>5.393606000158E12</v>
      </c>
      <c r="F18" s="381" t="s">
        <v>301</v>
      </c>
    </row>
    <row r="19">
      <c r="A19" s="364" t="s">
        <v>303</v>
      </c>
      <c r="B19" s="377"/>
      <c r="C19" s="358">
        <f t="shared" ref="C19:C22" si="2">29.6*$B$3</f>
        <v>651.2</v>
      </c>
      <c r="D19" s="359" t="s">
        <v>244</v>
      </c>
      <c r="E19" s="360">
        <v>5.393606000158E12</v>
      </c>
      <c r="F19" s="361"/>
    </row>
    <row r="20">
      <c r="A20" s="362" t="s">
        <v>167</v>
      </c>
      <c r="B20" s="385" t="s">
        <v>201</v>
      </c>
      <c r="C20" s="351">
        <f t="shared" si="2"/>
        <v>651.2</v>
      </c>
      <c r="D20" s="353" t="s">
        <v>244</v>
      </c>
      <c r="E20" s="354">
        <v>5.393606000158E12</v>
      </c>
      <c r="F20" s="381"/>
    </row>
    <row r="21">
      <c r="A21" s="364" t="s">
        <v>305</v>
      </c>
      <c r="B21" s="377"/>
      <c r="C21" s="358">
        <f t="shared" si="2"/>
        <v>651.2</v>
      </c>
      <c r="D21" s="359" t="s">
        <v>244</v>
      </c>
      <c r="E21" s="360">
        <v>5.393606000158E12</v>
      </c>
      <c r="F21" s="361"/>
    </row>
    <row r="22">
      <c r="A22" s="362" t="s">
        <v>77</v>
      </c>
      <c r="B22" s="367" t="s">
        <v>78</v>
      </c>
      <c r="C22" s="351">
        <f t="shared" si="2"/>
        <v>651.2</v>
      </c>
      <c r="D22" s="353" t="s">
        <v>244</v>
      </c>
      <c r="E22" s="354">
        <v>5.393606000158E12</v>
      </c>
      <c r="F22" s="381"/>
    </row>
    <row r="23">
      <c r="A23" s="324" t="s">
        <v>288</v>
      </c>
      <c r="B23" s="325"/>
      <c r="C23" s="326">
        <f>SUM(C6:C22)</f>
        <v>9827.2</v>
      </c>
      <c r="D23" s="321"/>
      <c r="E23" s="322"/>
      <c r="F23" s="327"/>
    </row>
    <row r="24">
      <c r="A24" s="328"/>
      <c r="B24" s="329"/>
      <c r="C24" s="330"/>
      <c r="D24" s="331"/>
      <c r="E24" s="331"/>
      <c r="F24" s="332"/>
      <c r="G24" s="287"/>
    </row>
    <row r="25">
      <c r="A25" s="333"/>
      <c r="B25" s="333"/>
      <c r="C25" s="334"/>
      <c r="D25" s="262"/>
      <c r="E25" s="262"/>
      <c r="F25" s="262"/>
      <c r="G25" s="170"/>
      <c r="H25" s="170"/>
      <c r="I25" s="170"/>
      <c r="J25" s="170"/>
      <c r="K25" s="170"/>
      <c r="L25" s="170"/>
      <c r="M25" s="170"/>
      <c r="N25" s="170"/>
      <c r="O25" s="170"/>
      <c r="P25" s="170"/>
      <c r="Q25" s="170"/>
      <c r="R25" s="170"/>
      <c r="S25" s="170"/>
      <c r="T25" s="170"/>
      <c r="U25" s="170"/>
      <c r="V25" s="170"/>
      <c r="W25" s="170"/>
      <c r="X25" s="170"/>
      <c r="Y25" s="170"/>
      <c r="Z25" s="170"/>
    </row>
    <row r="26">
      <c r="A26" s="333"/>
      <c r="C26" s="334"/>
      <c r="D26" s="262"/>
      <c r="E26" s="262"/>
      <c r="F26" s="262"/>
      <c r="G26" s="170"/>
      <c r="H26" s="170"/>
      <c r="I26" s="170"/>
      <c r="J26" s="170"/>
      <c r="K26" s="170"/>
      <c r="L26" s="170"/>
      <c r="M26" s="170"/>
      <c r="N26" s="170"/>
      <c r="O26" s="170"/>
      <c r="P26" s="170"/>
      <c r="Q26" s="170"/>
      <c r="R26" s="170"/>
      <c r="S26" s="170"/>
      <c r="T26" s="170"/>
      <c r="U26" s="170"/>
      <c r="V26" s="170"/>
      <c r="W26" s="170"/>
      <c r="X26" s="170"/>
      <c r="Y26" s="170"/>
      <c r="Z26" s="170"/>
    </row>
    <row r="27">
      <c r="A27" s="203" t="s">
        <v>3</v>
      </c>
      <c r="F27" s="15"/>
      <c r="G27" s="170"/>
      <c r="H27" s="170"/>
      <c r="I27" s="170"/>
      <c r="J27" s="170"/>
      <c r="K27" s="170"/>
      <c r="L27" s="170"/>
      <c r="M27" s="170"/>
      <c r="N27" s="170"/>
      <c r="O27" s="170"/>
      <c r="P27" s="170"/>
      <c r="Q27" s="170"/>
      <c r="R27" s="170"/>
      <c r="S27" s="170"/>
      <c r="T27" s="170"/>
      <c r="U27" s="170"/>
      <c r="V27" s="170"/>
      <c r="W27" s="170"/>
      <c r="X27" s="170"/>
      <c r="Y27" s="170"/>
      <c r="Z27" s="170"/>
    </row>
    <row r="28">
      <c r="A28" s="225" t="s">
        <v>188</v>
      </c>
      <c r="B28" s="211"/>
      <c r="C28" s="211"/>
      <c r="D28" s="211"/>
      <c r="E28" s="211"/>
      <c r="F28" s="91"/>
      <c r="G28" s="170"/>
      <c r="H28" s="170"/>
      <c r="I28" s="170"/>
      <c r="J28" s="170"/>
      <c r="K28" s="170"/>
      <c r="L28" s="170"/>
      <c r="M28" s="170"/>
      <c r="N28" s="170"/>
      <c r="O28" s="170"/>
      <c r="P28" s="170"/>
      <c r="Q28" s="170"/>
      <c r="R28" s="170"/>
      <c r="S28" s="170"/>
      <c r="T28" s="170"/>
      <c r="U28" s="170"/>
      <c r="V28" s="170"/>
      <c r="W28" s="170"/>
      <c r="X28" s="170"/>
      <c r="Y28" s="170"/>
      <c r="Z28" s="170"/>
    </row>
    <row r="29" ht="26.25" customHeight="1">
      <c r="A29" s="227">
        <v>29.6</v>
      </c>
      <c r="B29" s="228">
        <f>B3</f>
        <v>22</v>
      </c>
      <c r="C29" s="229" t="s">
        <v>21</v>
      </c>
      <c r="D29" s="230" t="s">
        <v>117</v>
      </c>
      <c r="E29" s="230"/>
      <c r="F29" s="5"/>
      <c r="G29" s="170"/>
      <c r="H29" s="170"/>
      <c r="I29" s="170"/>
      <c r="J29" s="170"/>
      <c r="K29" s="170"/>
      <c r="L29" s="170"/>
      <c r="M29" s="170"/>
      <c r="N29" s="170"/>
      <c r="O29" s="170"/>
      <c r="P29" s="170"/>
      <c r="Q29" s="170"/>
      <c r="R29" s="170"/>
      <c r="S29" s="170"/>
      <c r="T29" s="170"/>
      <c r="U29" s="170"/>
      <c r="V29" s="170"/>
      <c r="W29" s="170"/>
      <c r="X29" s="170"/>
      <c r="Y29" s="170"/>
      <c r="Z29" s="170"/>
    </row>
    <row r="30" ht="29.25" customHeight="1">
      <c r="A30" s="232" t="s">
        <v>295</v>
      </c>
      <c r="B30" s="211"/>
      <c r="C30" s="211"/>
      <c r="D30" s="91"/>
      <c r="E30" s="277"/>
      <c r="F30" s="335" t="s">
        <v>24</v>
      </c>
      <c r="G30" s="170"/>
      <c r="H30" s="170"/>
      <c r="I30" s="170"/>
      <c r="J30" s="170"/>
      <c r="K30" s="170"/>
      <c r="L30" s="170"/>
      <c r="M30" s="170"/>
      <c r="N30" s="170"/>
      <c r="O30" s="170"/>
      <c r="P30" s="170"/>
      <c r="Q30" s="170"/>
      <c r="R30" s="170"/>
      <c r="S30" s="170"/>
      <c r="T30" s="170"/>
      <c r="U30" s="170"/>
      <c r="V30" s="170"/>
      <c r="W30" s="170"/>
      <c r="X30" s="170"/>
      <c r="Y30" s="170"/>
      <c r="Z30" s="170"/>
    </row>
    <row r="31" ht="31.5" customHeight="1">
      <c r="A31" s="264" t="s">
        <v>176</v>
      </c>
      <c r="B31" s="265" t="s">
        <v>26</v>
      </c>
      <c r="C31" s="265" t="s">
        <v>119</v>
      </c>
      <c r="D31" s="235" t="s">
        <v>220</v>
      </c>
      <c r="E31" s="278" t="s">
        <v>253</v>
      </c>
      <c r="F31" s="336" t="s">
        <v>28</v>
      </c>
      <c r="G31" s="170"/>
      <c r="H31" s="170"/>
      <c r="I31" s="170"/>
      <c r="J31" s="170"/>
      <c r="K31" s="170"/>
      <c r="L31" s="170"/>
      <c r="M31" s="170"/>
      <c r="N31" s="170"/>
      <c r="O31" s="170"/>
      <c r="P31" s="170"/>
      <c r="Q31" s="170"/>
      <c r="R31" s="170"/>
      <c r="S31" s="170"/>
      <c r="T31" s="170"/>
      <c r="U31" s="170"/>
      <c r="V31" s="170"/>
      <c r="W31" s="170"/>
      <c r="X31" s="170"/>
      <c r="Y31" s="170"/>
      <c r="Z31" s="170"/>
    </row>
    <row r="32">
      <c r="A32" s="386" t="s">
        <v>248</v>
      </c>
      <c r="B32" s="387" t="s">
        <v>239</v>
      </c>
      <c r="C32" s="388">
        <f t="shared" ref="C32:C40" si="3">29.6*$B$3</f>
        <v>651.2</v>
      </c>
      <c r="D32" s="389" t="s">
        <v>244</v>
      </c>
      <c r="E32" s="390">
        <v>5.2803025000127E13</v>
      </c>
      <c r="F32" s="391"/>
      <c r="G32" s="170"/>
      <c r="H32" s="170"/>
      <c r="I32" s="170"/>
      <c r="J32" s="170"/>
      <c r="K32" s="170"/>
      <c r="L32" s="170"/>
      <c r="M32" s="170"/>
      <c r="N32" s="170"/>
      <c r="O32" s="170"/>
      <c r="P32" s="170"/>
      <c r="Q32" s="170"/>
      <c r="R32" s="170"/>
      <c r="S32" s="170"/>
      <c r="T32" s="170"/>
      <c r="U32" s="170"/>
      <c r="V32" s="170"/>
      <c r="W32" s="170"/>
      <c r="X32" s="170"/>
      <c r="Y32" s="170"/>
      <c r="Z32" s="170"/>
    </row>
    <row r="33">
      <c r="A33" s="392" t="s">
        <v>249</v>
      </c>
      <c r="B33" s="393" t="s">
        <v>250</v>
      </c>
      <c r="C33" s="395">
        <f t="shared" si="3"/>
        <v>651.2</v>
      </c>
      <c r="D33" s="396" t="s">
        <v>244</v>
      </c>
      <c r="E33" s="397">
        <v>5.2803025000127E13</v>
      </c>
      <c r="F33" s="398"/>
    </row>
    <row r="34">
      <c r="A34" s="386" t="s">
        <v>267</v>
      </c>
      <c r="B34" s="389" t="s">
        <v>268</v>
      </c>
      <c r="C34" s="388">
        <f t="shared" si="3"/>
        <v>651.2</v>
      </c>
      <c r="D34" s="389" t="s">
        <v>244</v>
      </c>
      <c r="E34" s="390">
        <v>5.2803025000127E13</v>
      </c>
      <c r="F34" s="399"/>
    </row>
    <row r="35">
      <c r="A35" s="400" t="s">
        <v>80</v>
      </c>
      <c r="B35" s="402" t="s">
        <v>81</v>
      </c>
      <c r="C35" s="395">
        <f t="shared" si="3"/>
        <v>651.2</v>
      </c>
      <c r="D35" s="396" t="s">
        <v>244</v>
      </c>
      <c r="E35" s="397">
        <v>5.2803025000127E13</v>
      </c>
      <c r="F35" s="404"/>
    </row>
    <row r="36">
      <c r="A36" s="400" t="s">
        <v>59</v>
      </c>
      <c r="B36" s="402" t="s">
        <v>60</v>
      </c>
      <c r="C36" s="395">
        <f t="shared" si="3"/>
        <v>651.2</v>
      </c>
      <c r="D36" s="396" t="s">
        <v>244</v>
      </c>
      <c r="E36" s="397">
        <v>5.2803025000127E13</v>
      </c>
      <c r="F36" s="405"/>
    </row>
    <row r="37">
      <c r="A37" s="406" t="s">
        <v>280</v>
      </c>
      <c r="B37" s="389" t="s">
        <v>293</v>
      </c>
      <c r="C37" s="388">
        <f t="shared" si="3"/>
        <v>651.2</v>
      </c>
      <c r="D37" s="407" t="s">
        <v>244</v>
      </c>
      <c r="E37" s="408">
        <v>5.2803025000127E13</v>
      </c>
      <c r="F37" s="409"/>
      <c r="G37" s="170"/>
      <c r="H37" s="170"/>
      <c r="I37" s="170"/>
      <c r="J37" s="170"/>
      <c r="K37" s="170"/>
      <c r="L37" s="170"/>
      <c r="M37" s="170"/>
      <c r="N37" s="170"/>
      <c r="O37" s="170"/>
      <c r="P37" s="170"/>
      <c r="Q37" s="170"/>
      <c r="R37" s="170"/>
      <c r="S37" s="170"/>
      <c r="T37" s="170"/>
      <c r="U37" s="170"/>
      <c r="V37" s="170"/>
      <c r="W37" s="170"/>
      <c r="X37" s="170"/>
      <c r="Y37" s="170"/>
      <c r="Z37" s="170"/>
    </row>
    <row r="38">
      <c r="A38" s="392" t="s">
        <v>270</v>
      </c>
      <c r="B38" s="393" t="s">
        <v>271</v>
      </c>
      <c r="C38" s="395">
        <f t="shared" si="3"/>
        <v>651.2</v>
      </c>
      <c r="D38" s="396" t="s">
        <v>244</v>
      </c>
      <c r="E38" s="397">
        <v>5.2803025000127E13</v>
      </c>
      <c r="F38" s="399"/>
    </row>
    <row r="39">
      <c r="A39" s="406" t="s">
        <v>134</v>
      </c>
      <c r="B39" s="410" t="s">
        <v>236</v>
      </c>
      <c r="C39" s="388">
        <f t="shared" si="3"/>
        <v>651.2</v>
      </c>
      <c r="D39" s="389" t="s">
        <v>244</v>
      </c>
      <c r="E39" s="390">
        <v>5.2803025000127E13</v>
      </c>
      <c r="F39" s="412"/>
    </row>
    <row r="40">
      <c r="A40" s="392" t="s">
        <v>241</v>
      </c>
      <c r="B40" s="393" t="s">
        <v>242</v>
      </c>
      <c r="C40" s="395">
        <f t="shared" si="3"/>
        <v>651.2</v>
      </c>
      <c r="D40" s="396" t="s">
        <v>244</v>
      </c>
      <c r="E40" s="397">
        <v>5.2803025000127E13</v>
      </c>
      <c r="F40" s="400"/>
    </row>
    <row r="41">
      <c r="A41" s="249"/>
      <c r="B41" s="251"/>
      <c r="C41" s="268"/>
      <c r="D41" s="270"/>
      <c r="E41" s="281"/>
      <c r="F41" s="348"/>
    </row>
    <row r="42">
      <c r="A42" s="290" t="s">
        <v>288</v>
      </c>
      <c r="B42" s="290"/>
      <c r="C42" s="257">
        <f>SUM(C32:C40)</f>
        <v>5860.8</v>
      </c>
      <c r="D42" s="218"/>
      <c r="E42" s="218"/>
      <c r="F42" s="218"/>
    </row>
    <row r="45">
      <c r="A45" s="275" t="s">
        <v>317</v>
      </c>
    </row>
  </sheetData>
  <autoFilter ref="$A$5:$F$22">
    <sortState ref="A5:F22">
      <sortCondition ref="A5:A22"/>
    </sortState>
  </autoFilter>
  <mergeCells count="7">
    <mergeCell ref="A1:F1"/>
    <mergeCell ref="A2:F2"/>
    <mergeCell ref="A4:D4"/>
    <mergeCell ref="A26:B26"/>
    <mergeCell ref="A27:F27"/>
    <mergeCell ref="A28:F28"/>
    <mergeCell ref="A30:D30"/>
  </mergeCells>
  <printOptions gridLines="1" horizontalCentered="1"/>
  <pageMargins bottom="0.75" footer="0.0" header="0.0" left="0.25" right="0.25" top="0.75"/>
  <pageSetup paperSize="9" cellComments="atEnd" orientation="landscape" pageOrder="overThenDown"/>
  <drawing r:id="rId1"/>
  <tableParts count="1">
    <tablePart r:id="rId3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22.88"/>
    <col customWidth="1" min="2" max="2" width="14.25"/>
    <col customWidth="1" min="3" max="3" width="10.38"/>
    <col customWidth="1" min="4" max="4" width="14.38"/>
    <col customWidth="1" min="5" max="5" width="14.88"/>
    <col customWidth="1" min="6" max="6" width="52.63"/>
  </cols>
  <sheetData>
    <row r="1" ht="21.75" customHeight="1">
      <c r="A1" s="203" t="s">
        <v>3</v>
      </c>
      <c r="F1" s="15"/>
    </row>
    <row r="2">
      <c r="A2" s="225" t="s">
        <v>198</v>
      </c>
      <c r="B2" s="211"/>
      <c r="C2" s="211"/>
      <c r="D2" s="211"/>
      <c r="E2" s="211"/>
      <c r="F2" s="91"/>
      <c r="G2" s="275" t="s">
        <v>173</v>
      </c>
    </row>
    <row r="3" ht="24.0" customHeight="1">
      <c r="A3" s="227">
        <v>29.6</v>
      </c>
      <c r="B3" s="228">
        <v>21.0</v>
      </c>
      <c r="C3" s="229" t="s">
        <v>21</v>
      </c>
      <c r="D3" s="230"/>
      <c r="E3" s="230"/>
      <c r="F3" s="5"/>
      <c r="G3" s="292">
        <f>C23+C42</f>
        <v>14829.6</v>
      </c>
    </row>
    <row r="4" ht="31.5" customHeight="1">
      <c r="A4" s="232" t="s">
        <v>295</v>
      </c>
      <c r="B4" s="211"/>
      <c r="C4" s="211"/>
      <c r="D4" s="91"/>
      <c r="E4" s="277"/>
      <c r="F4" s="293" t="s">
        <v>24</v>
      </c>
    </row>
    <row r="5" ht="24.75" customHeight="1">
      <c r="A5" s="49" t="s">
        <v>176</v>
      </c>
      <c r="B5" s="50" t="s">
        <v>26</v>
      </c>
      <c r="C5" s="50" t="s">
        <v>119</v>
      </c>
      <c r="D5" s="235" t="s">
        <v>220</v>
      </c>
      <c r="E5" s="278" t="s">
        <v>253</v>
      </c>
      <c r="F5" s="52" t="s">
        <v>28</v>
      </c>
    </row>
    <row r="6">
      <c r="A6" s="349" t="s">
        <v>33</v>
      </c>
      <c r="B6" s="350" t="s">
        <v>34</v>
      </c>
      <c r="C6" s="351">
        <f>29.6*$B$3</f>
        <v>621.6</v>
      </c>
      <c r="D6" s="353" t="s">
        <v>244</v>
      </c>
      <c r="E6" s="354">
        <v>5.393606000158E12</v>
      </c>
      <c r="F6" s="355"/>
    </row>
    <row r="7">
      <c r="A7" s="356" t="s">
        <v>35</v>
      </c>
      <c r="B7" s="357" t="s">
        <v>36</v>
      </c>
      <c r="C7" s="358">
        <v>29.6</v>
      </c>
      <c r="D7" s="359" t="s">
        <v>244</v>
      </c>
      <c r="E7" s="360">
        <v>5.393606000158E12</v>
      </c>
      <c r="F7" s="361" t="s">
        <v>302</v>
      </c>
    </row>
    <row r="8">
      <c r="A8" s="362" t="s">
        <v>298</v>
      </c>
      <c r="B8" s="363"/>
      <c r="C8" s="351">
        <f t="shared" ref="C8:C11" si="1">29.6*$B$3</f>
        <v>621.6</v>
      </c>
      <c r="D8" s="353" t="s">
        <v>244</v>
      </c>
      <c r="E8" s="354">
        <v>5.393606000158E12</v>
      </c>
      <c r="F8" s="355"/>
      <c r="G8" s="170"/>
      <c r="H8" s="170"/>
      <c r="I8" s="170"/>
      <c r="J8" s="170"/>
      <c r="K8" s="170"/>
      <c r="L8" s="170"/>
      <c r="M8" s="170"/>
      <c r="N8" s="170"/>
      <c r="O8" s="170"/>
      <c r="P8" s="170"/>
      <c r="Q8" s="170"/>
      <c r="R8" s="170"/>
      <c r="S8" s="170"/>
      <c r="T8" s="170"/>
      <c r="U8" s="170"/>
      <c r="V8" s="170"/>
      <c r="W8" s="170"/>
      <c r="X8" s="170"/>
      <c r="Y8" s="170"/>
      <c r="Z8" s="170"/>
    </row>
    <row r="9">
      <c r="A9" s="364" t="s">
        <v>234</v>
      </c>
      <c r="B9" s="365" t="s">
        <v>235</v>
      </c>
      <c r="C9" s="358">
        <f t="shared" si="1"/>
        <v>621.6</v>
      </c>
      <c r="D9" s="365" t="s">
        <v>244</v>
      </c>
      <c r="E9" s="366">
        <v>5.393606000158E12</v>
      </c>
      <c r="F9" s="361"/>
      <c r="G9" s="170"/>
      <c r="H9" s="170"/>
      <c r="I9" s="170"/>
      <c r="J9" s="170"/>
      <c r="K9" s="170"/>
      <c r="L9" s="170"/>
      <c r="M9" s="170"/>
      <c r="N9" s="170"/>
      <c r="O9" s="170"/>
      <c r="P9" s="170"/>
      <c r="Q9" s="170"/>
      <c r="R9" s="170"/>
      <c r="S9" s="170"/>
      <c r="T9" s="170"/>
      <c r="U9" s="170"/>
      <c r="V9" s="170"/>
      <c r="W9" s="170"/>
      <c r="X9" s="170"/>
      <c r="Y9" s="170"/>
      <c r="Z9" s="170"/>
    </row>
    <row r="10">
      <c r="A10" s="362" t="s">
        <v>203</v>
      </c>
      <c r="B10" s="367" t="s">
        <v>204</v>
      </c>
      <c r="C10" s="351">
        <f t="shared" si="1"/>
        <v>621.6</v>
      </c>
      <c r="D10" s="367" t="s">
        <v>244</v>
      </c>
      <c r="E10" s="368">
        <v>5.393606000158E12</v>
      </c>
      <c r="F10" s="355"/>
    </row>
    <row r="11">
      <c r="A11" s="369" t="s">
        <v>275</v>
      </c>
      <c r="B11" s="370" t="s">
        <v>281</v>
      </c>
      <c r="C11" s="358">
        <f t="shared" si="1"/>
        <v>621.6</v>
      </c>
      <c r="D11" s="359" t="s">
        <v>244</v>
      </c>
      <c r="E11" s="360">
        <v>5.393606000158E12</v>
      </c>
      <c r="F11" s="361"/>
    </row>
    <row r="12">
      <c r="A12" s="371" t="s">
        <v>147</v>
      </c>
      <c r="B12" s="372" t="s">
        <v>148</v>
      </c>
      <c r="C12" s="351">
        <f>29.6*6</f>
        <v>177.6</v>
      </c>
      <c r="D12" s="353" t="s">
        <v>244</v>
      </c>
      <c r="E12" s="354">
        <v>5.393606000158E12</v>
      </c>
      <c r="F12" s="355" t="s">
        <v>306</v>
      </c>
    </row>
    <row r="13">
      <c r="A13" s="373" t="s">
        <v>61</v>
      </c>
      <c r="B13" s="374" t="s">
        <v>62</v>
      </c>
      <c r="C13" s="358">
        <f t="shared" ref="C13:C22" si="2">29.6*$B$3</f>
        <v>621.6</v>
      </c>
      <c r="D13" s="359" t="s">
        <v>244</v>
      </c>
      <c r="E13" s="360">
        <v>5.393606000158E12</v>
      </c>
      <c r="F13" s="361"/>
    </row>
    <row r="14">
      <c r="A14" s="375" t="s">
        <v>276</v>
      </c>
      <c r="B14" s="376" t="s">
        <v>283</v>
      </c>
      <c r="C14" s="351">
        <f t="shared" si="2"/>
        <v>621.6</v>
      </c>
      <c r="D14" s="353" t="s">
        <v>244</v>
      </c>
      <c r="E14" s="354">
        <v>5.393606000158E12</v>
      </c>
      <c r="F14" s="355"/>
    </row>
    <row r="15">
      <c r="A15" s="364" t="s">
        <v>299</v>
      </c>
      <c r="B15" s="377"/>
      <c r="C15" s="358">
        <f t="shared" si="2"/>
        <v>621.6</v>
      </c>
      <c r="D15" s="359" t="s">
        <v>244</v>
      </c>
      <c r="E15" s="360">
        <v>5.393606000158E12</v>
      </c>
      <c r="F15" s="378"/>
      <c r="G15" s="170"/>
      <c r="H15" s="170"/>
      <c r="I15" s="170"/>
      <c r="J15" s="170"/>
      <c r="K15" s="170"/>
      <c r="L15" s="170"/>
      <c r="M15" s="170"/>
      <c r="N15" s="170"/>
      <c r="O15" s="170"/>
      <c r="P15" s="170"/>
      <c r="Q15" s="170"/>
      <c r="R15" s="170"/>
      <c r="S15" s="170"/>
      <c r="T15" s="170"/>
      <c r="U15" s="170"/>
      <c r="V15" s="170"/>
      <c r="W15" s="170"/>
      <c r="X15" s="170"/>
      <c r="Y15" s="170"/>
      <c r="Z15" s="170"/>
    </row>
    <row r="16">
      <c r="A16" s="379" t="s">
        <v>164</v>
      </c>
      <c r="B16" s="380" t="s">
        <v>165</v>
      </c>
      <c r="C16" s="351">
        <f t="shared" si="2"/>
        <v>621.6</v>
      </c>
      <c r="D16" s="353" t="s">
        <v>244</v>
      </c>
      <c r="E16" s="354">
        <v>5.393606000158E12</v>
      </c>
      <c r="F16" s="381"/>
    </row>
    <row r="17">
      <c r="A17" s="382" t="s">
        <v>212</v>
      </c>
      <c r="B17" s="383" t="s">
        <v>213</v>
      </c>
      <c r="C17" s="358">
        <f t="shared" si="2"/>
        <v>621.6</v>
      </c>
      <c r="D17" s="365" t="s">
        <v>244</v>
      </c>
      <c r="E17" s="366">
        <v>5.393606000158E12</v>
      </c>
      <c r="F17" s="382"/>
    </row>
    <row r="18">
      <c r="A18" s="379" t="s">
        <v>171</v>
      </c>
      <c r="B18" s="384" t="s">
        <v>224</v>
      </c>
      <c r="C18" s="351">
        <f t="shared" si="2"/>
        <v>621.6</v>
      </c>
      <c r="D18" s="353" t="s">
        <v>244</v>
      </c>
      <c r="E18" s="354">
        <v>5.393606000158E12</v>
      </c>
      <c r="F18" s="381"/>
    </row>
    <row r="19">
      <c r="A19" s="364" t="s">
        <v>303</v>
      </c>
      <c r="B19" s="377"/>
      <c r="C19" s="358">
        <f t="shared" si="2"/>
        <v>621.6</v>
      </c>
      <c r="D19" s="359" t="s">
        <v>244</v>
      </c>
      <c r="E19" s="360">
        <v>5.393606000158E12</v>
      </c>
      <c r="F19" s="361"/>
    </row>
    <row r="20">
      <c r="A20" s="362" t="s">
        <v>167</v>
      </c>
      <c r="B20" s="385" t="s">
        <v>201</v>
      </c>
      <c r="C20" s="351">
        <f t="shared" si="2"/>
        <v>621.6</v>
      </c>
      <c r="D20" s="353" t="s">
        <v>244</v>
      </c>
      <c r="E20" s="354">
        <v>5.393606000158E12</v>
      </c>
      <c r="F20" s="381"/>
    </row>
    <row r="21">
      <c r="A21" s="364" t="s">
        <v>305</v>
      </c>
      <c r="B21" s="377"/>
      <c r="C21" s="358">
        <f t="shared" si="2"/>
        <v>621.6</v>
      </c>
      <c r="D21" s="359" t="s">
        <v>244</v>
      </c>
      <c r="E21" s="360">
        <v>5.393606000158E12</v>
      </c>
      <c r="F21" s="361"/>
    </row>
    <row r="22">
      <c r="A22" s="362" t="s">
        <v>77</v>
      </c>
      <c r="B22" s="367" t="s">
        <v>78</v>
      </c>
      <c r="C22" s="351">
        <f t="shared" si="2"/>
        <v>621.6</v>
      </c>
      <c r="D22" s="353" t="s">
        <v>244</v>
      </c>
      <c r="E22" s="354">
        <v>5.393606000158E12</v>
      </c>
      <c r="F22" s="381"/>
    </row>
    <row r="23">
      <c r="A23" s="324" t="s">
        <v>288</v>
      </c>
      <c r="B23" s="325"/>
      <c r="C23" s="326">
        <f>SUM(C6:C22)</f>
        <v>9531.2</v>
      </c>
      <c r="D23" s="321"/>
      <c r="E23" s="322"/>
      <c r="F23" s="327"/>
    </row>
    <row r="24">
      <c r="A24" s="328"/>
      <c r="B24" s="329"/>
      <c r="C24" s="330"/>
      <c r="D24" s="331"/>
      <c r="E24" s="331"/>
      <c r="F24" s="332"/>
      <c r="G24" s="287"/>
    </row>
    <row r="25">
      <c r="A25" s="333"/>
      <c r="B25" s="333"/>
      <c r="C25" s="334"/>
      <c r="D25" s="262"/>
      <c r="E25" s="262"/>
      <c r="F25" s="262"/>
      <c r="G25" s="170"/>
      <c r="H25" s="170"/>
      <c r="I25" s="170"/>
      <c r="J25" s="170"/>
      <c r="K25" s="170"/>
      <c r="L25" s="170"/>
      <c r="M25" s="170"/>
      <c r="N25" s="170"/>
      <c r="O25" s="170"/>
      <c r="P25" s="170"/>
      <c r="Q25" s="170"/>
      <c r="R25" s="170"/>
      <c r="S25" s="170"/>
      <c r="T25" s="170"/>
      <c r="U25" s="170"/>
      <c r="V25" s="170"/>
      <c r="W25" s="170"/>
      <c r="X25" s="170"/>
      <c r="Y25" s="170"/>
      <c r="Z25" s="170"/>
    </row>
    <row r="26">
      <c r="A26" s="333"/>
      <c r="C26" s="334"/>
      <c r="D26" s="262"/>
      <c r="E26" s="262"/>
      <c r="F26" s="262"/>
      <c r="G26" s="170"/>
      <c r="H26" s="170"/>
      <c r="I26" s="170"/>
      <c r="J26" s="170"/>
      <c r="K26" s="170"/>
      <c r="L26" s="170"/>
      <c r="M26" s="170"/>
      <c r="N26" s="170"/>
      <c r="O26" s="170"/>
      <c r="P26" s="170"/>
      <c r="Q26" s="170"/>
      <c r="R26" s="170"/>
      <c r="S26" s="170"/>
      <c r="T26" s="170"/>
      <c r="U26" s="170"/>
      <c r="V26" s="170"/>
      <c r="W26" s="170"/>
      <c r="X26" s="170"/>
      <c r="Y26" s="170"/>
      <c r="Z26" s="170"/>
    </row>
    <row r="27">
      <c r="A27" s="203" t="s">
        <v>3</v>
      </c>
      <c r="F27" s="15"/>
      <c r="G27" s="170"/>
      <c r="H27" s="170"/>
      <c r="I27" s="170"/>
      <c r="J27" s="170"/>
      <c r="K27" s="170"/>
      <c r="L27" s="170"/>
      <c r="M27" s="170"/>
      <c r="N27" s="170"/>
      <c r="O27" s="170"/>
      <c r="P27" s="170"/>
      <c r="Q27" s="170"/>
      <c r="R27" s="170"/>
      <c r="S27" s="170"/>
      <c r="T27" s="170"/>
      <c r="U27" s="170"/>
      <c r="V27" s="170"/>
      <c r="W27" s="170"/>
      <c r="X27" s="170"/>
      <c r="Y27" s="170"/>
      <c r="Z27" s="170"/>
    </row>
    <row r="28">
      <c r="A28" s="225" t="s">
        <v>188</v>
      </c>
      <c r="B28" s="211"/>
      <c r="C28" s="211"/>
      <c r="D28" s="211"/>
      <c r="E28" s="211"/>
      <c r="F28" s="91"/>
      <c r="G28" s="170"/>
      <c r="H28" s="170"/>
      <c r="I28" s="170"/>
      <c r="J28" s="170"/>
      <c r="K28" s="170"/>
      <c r="L28" s="170"/>
      <c r="M28" s="170"/>
      <c r="N28" s="170"/>
      <c r="O28" s="170"/>
      <c r="P28" s="170"/>
      <c r="Q28" s="170"/>
      <c r="R28" s="170"/>
      <c r="S28" s="170"/>
      <c r="T28" s="170"/>
      <c r="U28" s="170"/>
      <c r="V28" s="170"/>
      <c r="W28" s="170"/>
      <c r="X28" s="170"/>
      <c r="Y28" s="170"/>
      <c r="Z28" s="170"/>
    </row>
    <row r="29" ht="26.25" customHeight="1">
      <c r="A29" s="227">
        <v>29.6</v>
      </c>
      <c r="B29" s="228">
        <f>B3</f>
        <v>21</v>
      </c>
      <c r="C29" s="229" t="s">
        <v>21</v>
      </c>
      <c r="D29" s="230" t="s">
        <v>117</v>
      </c>
      <c r="E29" s="230"/>
      <c r="F29" s="5"/>
      <c r="G29" s="170"/>
      <c r="H29" s="170"/>
      <c r="I29" s="170"/>
      <c r="J29" s="170"/>
      <c r="K29" s="170"/>
      <c r="L29" s="170"/>
      <c r="M29" s="170"/>
      <c r="N29" s="170"/>
      <c r="O29" s="170"/>
      <c r="P29" s="170"/>
      <c r="Q29" s="170"/>
      <c r="R29" s="170"/>
      <c r="S29" s="170"/>
      <c r="T29" s="170"/>
      <c r="U29" s="170"/>
      <c r="V29" s="170"/>
      <c r="W29" s="170"/>
      <c r="X29" s="170"/>
      <c r="Y29" s="170"/>
      <c r="Z29" s="170"/>
    </row>
    <row r="30" ht="29.25" customHeight="1">
      <c r="A30" s="232" t="s">
        <v>295</v>
      </c>
      <c r="B30" s="211"/>
      <c r="C30" s="211"/>
      <c r="D30" s="91"/>
      <c r="E30" s="277"/>
      <c r="F30" s="335" t="s">
        <v>24</v>
      </c>
      <c r="G30" s="170"/>
      <c r="H30" s="170"/>
      <c r="I30" s="170"/>
      <c r="J30" s="170"/>
      <c r="K30" s="170"/>
      <c r="L30" s="170"/>
      <c r="M30" s="170"/>
      <c r="N30" s="170"/>
      <c r="O30" s="170"/>
      <c r="P30" s="170"/>
      <c r="Q30" s="170"/>
      <c r="R30" s="170"/>
      <c r="S30" s="170"/>
      <c r="T30" s="170"/>
      <c r="U30" s="170"/>
      <c r="V30" s="170"/>
      <c r="W30" s="170"/>
      <c r="X30" s="170"/>
      <c r="Y30" s="170"/>
      <c r="Z30" s="170"/>
    </row>
    <row r="31" ht="31.5" customHeight="1">
      <c r="A31" s="264" t="s">
        <v>176</v>
      </c>
      <c r="B31" s="265" t="s">
        <v>26</v>
      </c>
      <c r="C31" s="265" t="s">
        <v>119</v>
      </c>
      <c r="D31" s="235" t="s">
        <v>220</v>
      </c>
      <c r="E31" s="278" t="s">
        <v>253</v>
      </c>
      <c r="F31" s="336" t="s">
        <v>28</v>
      </c>
      <c r="G31" s="170"/>
      <c r="H31" s="170"/>
      <c r="I31" s="170"/>
      <c r="J31" s="170"/>
      <c r="K31" s="170"/>
      <c r="L31" s="170"/>
      <c r="M31" s="170"/>
      <c r="N31" s="170"/>
      <c r="O31" s="170"/>
      <c r="P31" s="170"/>
      <c r="Q31" s="170"/>
      <c r="R31" s="170"/>
      <c r="S31" s="170"/>
      <c r="T31" s="170"/>
      <c r="U31" s="170"/>
      <c r="V31" s="170"/>
      <c r="W31" s="170"/>
      <c r="X31" s="170"/>
      <c r="Y31" s="170"/>
      <c r="Z31" s="170"/>
    </row>
    <row r="32">
      <c r="A32" s="386" t="s">
        <v>248</v>
      </c>
      <c r="B32" s="387" t="s">
        <v>239</v>
      </c>
      <c r="C32" s="388">
        <f t="shared" ref="C32:C34" si="3">29.6*$B$3</f>
        <v>621.6</v>
      </c>
      <c r="D32" s="389" t="s">
        <v>244</v>
      </c>
      <c r="E32" s="390">
        <v>5.2803025000127E13</v>
      </c>
      <c r="F32" s="391"/>
      <c r="G32" s="170"/>
      <c r="H32" s="170"/>
      <c r="I32" s="170"/>
      <c r="J32" s="170"/>
      <c r="K32" s="170"/>
      <c r="L32" s="170"/>
      <c r="M32" s="170"/>
      <c r="N32" s="170"/>
      <c r="O32" s="170"/>
      <c r="P32" s="170"/>
      <c r="Q32" s="170"/>
      <c r="R32" s="170"/>
      <c r="S32" s="170"/>
      <c r="T32" s="170"/>
      <c r="U32" s="170"/>
      <c r="V32" s="170"/>
      <c r="W32" s="170"/>
      <c r="X32" s="170"/>
      <c r="Y32" s="170"/>
      <c r="Z32" s="170"/>
    </row>
    <row r="33">
      <c r="A33" s="392" t="s">
        <v>249</v>
      </c>
      <c r="B33" s="393" t="s">
        <v>250</v>
      </c>
      <c r="C33" s="395">
        <f t="shared" si="3"/>
        <v>621.6</v>
      </c>
      <c r="D33" s="396" t="s">
        <v>244</v>
      </c>
      <c r="E33" s="397">
        <v>5.2803025000127E13</v>
      </c>
      <c r="F33" s="398"/>
    </row>
    <row r="34">
      <c r="A34" s="386" t="s">
        <v>267</v>
      </c>
      <c r="B34" s="389" t="s">
        <v>268</v>
      </c>
      <c r="C34" s="388">
        <f t="shared" si="3"/>
        <v>621.6</v>
      </c>
      <c r="D34" s="389" t="s">
        <v>244</v>
      </c>
      <c r="E34" s="390">
        <v>5.2803025000127E13</v>
      </c>
      <c r="F34" s="399"/>
    </row>
    <row r="35">
      <c r="A35" s="400" t="s">
        <v>80</v>
      </c>
      <c r="B35" s="402" t="s">
        <v>81</v>
      </c>
      <c r="C35" s="395">
        <f>29.6*11</f>
        <v>325.6</v>
      </c>
      <c r="D35" s="396" t="s">
        <v>244</v>
      </c>
      <c r="E35" s="397">
        <v>5.2803025000127E13</v>
      </c>
      <c r="F35" s="404" t="s">
        <v>310</v>
      </c>
      <c r="H35" s="275">
        <f>29.6*9</f>
        <v>266.4</v>
      </c>
      <c r="I35" s="103">
        <f>29.6*20</f>
        <v>592</v>
      </c>
      <c r="J35" s="103">
        <f>I35-H35</f>
        <v>325.6</v>
      </c>
    </row>
    <row r="36">
      <c r="A36" s="400" t="s">
        <v>59</v>
      </c>
      <c r="B36" s="402" t="s">
        <v>60</v>
      </c>
      <c r="C36" s="395">
        <f t="shared" ref="C36:C40" si="4">29.6*$B$3</f>
        <v>621.6</v>
      </c>
      <c r="D36" s="396" t="s">
        <v>244</v>
      </c>
      <c r="E36" s="397">
        <v>5.2803025000127E13</v>
      </c>
      <c r="F36" s="405"/>
    </row>
    <row r="37">
      <c r="A37" s="406" t="s">
        <v>280</v>
      </c>
      <c r="B37" s="389" t="s">
        <v>293</v>
      </c>
      <c r="C37" s="388">
        <f t="shared" si="4"/>
        <v>621.6</v>
      </c>
      <c r="D37" s="407" t="s">
        <v>244</v>
      </c>
      <c r="E37" s="408">
        <v>5.2803025000127E13</v>
      </c>
      <c r="F37" s="409"/>
      <c r="G37" s="170"/>
      <c r="H37" s="170"/>
      <c r="I37" s="170"/>
      <c r="J37" s="170"/>
      <c r="K37" s="170"/>
      <c r="L37" s="170"/>
      <c r="M37" s="170"/>
      <c r="N37" s="170"/>
      <c r="O37" s="170"/>
      <c r="P37" s="170"/>
      <c r="Q37" s="170"/>
      <c r="R37" s="170"/>
      <c r="S37" s="170"/>
      <c r="T37" s="170"/>
      <c r="U37" s="170"/>
      <c r="V37" s="170"/>
      <c r="W37" s="170"/>
      <c r="X37" s="170"/>
      <c r="Y37" s="170"/>
      <c r="Z37" s="170"/>
    </row>
    <row r="38">
      <c r="A38" s="392" t="s">
        <v>270</v>
      </c>
      <c r="B38" s="393" t="s">
        <v>271</v>
      </c>
      <c r="C38" s="395">
        <f t="shared" si="4"/>
        <v>621.6</v>
      </c>
      <c r="D38" s="396" t="s">
        <v>244</v>
      </c>
      <c r="E38" s="397">
        <v>5.2803025000127E13</v>
      </c>
      <c r="F38" s="399"/>
    </row>
    <row r="39">
      <c r="A39" s="406" t="s">
        <v>134</v>
      </c>
      <c r="B39" s="410" t="s">
        <v>236</v>
      </c>
      <c r="C39" s="388">
        <f t="shared" si="4"/>
        <v>621.6</v>
      </c>
      <c r="D39" s="389" t="s">
        <v>244</v>
      </c>
      <c r="E39" s="390">
        <v>5.2803025000127E13</v>
      </c>
      <c r="F39" s="412"/>
    </row>
    <row r="40">
      <c r="A40" s="392" t="s">
        <v>241</v>
      </c>
      <c r="B40" s="393" t="s">
        <v>242</v>
      </c>
      <c r="C40" s="395">
        <f t="shared" si="4"/>
        <v>621.6</v>
      </c>
      <c r="D40" s="396" t="s">
        <v>244</v>
      </c>
      <c r="E40" s="397">
        <v>5.2803025000127E13</v>
      </c>
      <c r="F40" s="400"/>
    </row>
    <row r="41">
      <c r="A41" s="249"/>
      <c r="B41" s="251"/>
      <c r="C41" s="268"/>
      <c r="D41" s="270"/>
      <c r="E41" s="281"/>
      <c r="F41" s="348"/>
    </row>
    <row r="42">
      <c r="A42" s="290" t="s">
        <v>288</v>
      </c>
      <c r="B42" s="290"/>
      <c r="C42" s="257">
        <f>SUM(C32:C40)</f>
        <v>5298.4</v>
      </c>
      <c r="D42" s="218"/>
      <c r="E42" s="218"/>
      <c r="F42" s="218"/>
    </row>
  </sheetData>
  <autoFilter ref="$A$5:$F$22">
    <sortState ref="A5:F22">
      <sortCondition ref="A5:A22"/>
    </sortState>
  </autoFilter>
  <mergeCells count="7">
    <mergeCell ref="A1:F1"/>
    <mergeCell ref="A2:F2"/>
    <mergeCell ref="A4:D4"/>
    <mergeCell ref="A26:B26"/>
    <mergeCell ref="A27:F27"/>
    <mergeCell ref="A28:F28"/>
    <mergeCell ref="A30:D30"/>
  </mergeCells>
  <printOptions gridLines="1" horizontalCentered="1"/>
  <pageMargins bottom="0.75" footer="0.0" header="0.0" left="0.25" right="0.25" top="0.75"/>
  <pageSetup paperSize="9" cellComments="atEnd" orientation="landscape" pageOrder="overThenDown"/>
  <drawing r:id="rId1"/>
  <tableParts count="1">
    <tablePart r:id="rId3"/>
  </tableParts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22.88"/>
    <col customWidth="1" min="2" max="2" width="14.25"/>
    <col customWidth="1" min="3" max="3" width="10.38"/>
    <col customWidth="1" min="4" max="4" width="14.38"/>
    <col customWidth="1" min="5" max="5" width="14.88"/>
    <col customWidth="1" min="6" max="6" width="52.63"/>
  </cols>
  <sheetData>
    <row r="1" ht="21.75" customHeight="1">
      <c r="A1" s="203" t="s">
        <v>3</v>
      </c>
      <c r="F1" s="15"/>
    </row>
    <row r="2">
      <c r="A2" s="225" t="s">
        <v>198</v>
      </c>
      <c r="B2" s="211"/>
      <c r="C2" s="211"/>
      <c r="D2" s="211"/>
      <c r="E2" s="211"/>
      <c r="F2" s="91"/>
      <c r="G2" s="275" t="s">
        <v>173</v>
      </c>
    </row>
    <row r="3" ht="24.0" customHeight="1">
      <c r="A3" s="227">
        <v>29.6</v>
      </c>
      <c r="B3" s="228">
        <v>22.0</v>
      </c>
      <c r="C3" s="229" t="s">
        <v>21</v>
      </c>
      <c r="D3" s="230"/>
      <c r="E3" s="230"/>
      <c r="F3" s="5"/>
      <c r="G3" s="292">
        <f>C24+C41</f>
        <v>14267.2</v>
      </c>
    </row>
    <row r="4" ht="31.5" customHeight="1">
      <c r="A4" s="232" t="s">
        <v>307</v>
      </c>
      <c r="B4" s="211"/>
      <c r="C4" s="211"/>
      <c r="D4" s="91"/>
      <c r="E4" s="277"/>
      <c r="F4" s="293" t="s">
        <v>24</v>
      </c>
    </row>
    <row r="5" ht="24.75" customHeight="1">
      <c r="A5" s="49" t="s">
        <v>176</v>
      </c>
      <c r="B5" s="50" t="s">
        <v>26</v>
      </c>
      <c r="C5" s="50" t="s">
        <v>119</v>
      </c>
      <c r="D5" s="235" t="s">
        <v>220</v>
      </c>
      <c r="E5" s="278" t="s">
        <v>253</v>
      </c>
      <c r="F5" s="52" t="s">
        <v>28</v>
      </c>
    </row>
    <row r="6">
      <c r="A6" s="379" t="s">
        <v>308</v>
      </c>
      <c r="B6" s="380" t="s">
        <v>309</v>
      </c>
      <c r="C6" s="351">
        <f t="shared" ref="C6:C7" si="1">29.6*$B$3</f>
        <v>651.2</v>
      </c>
      <c r="D6" s="353" t="s">
        <v>244</v>
      </c>
      <c r="E6" s="354">
        <v>5.393606000158E12</v>
      </c>
      <c r="F6" s="394"/>
    </row>
    <row r="7">
      <c r="A7" s="356" t="s">
        <v>33</v>
      </c>
      <c r="B7" s="357" t="s">
        <v>34</v>
      </c>
      <c r="C7" s="358">
        <f t="shared" si="1"/>
        <v>651.2</v>
      </c>
      <c r="D7" s="359" t="s">
        <v>244</v>
      </c>
      <c r="E7" s="360">
        <v>5.393606000158E12</v>
      </c>
      <c r="F7" s="361"/>
    </row>
    <row r="8">
      <c r="A8" s="401" t="s">
        <v>35</v>
      </c>
      <c r="B8" s="403" t="s">
        <v>36</v>
      </c>
      <c r="C8" s="351">
        <f>29.6*20</f>
        <v>592</v>
      </c>
      <c r="D8" s="353" t="s">
        <v>244</v>
      </c>
      <c r="E8" s="354">
        <v>5.393606000158E12</v>
      </c>
      <c r="F8" s="355" t="s">
        <v>311</v>
      </c>
      <c r="G8" s="170"/>
      <c r="H8" s="170"/>
      <c r="I8" s="170"/>
      <c r="J8" s="170"/>
      <c r="K8" s="170"/>
      <c r="L8" s="170"/>
      <c r="M8" s="170"/>
      <c r="N8" s="170"/>
      <c r="O8" s="170"/>
      <c r="P8" s="170"/>
      <c r="Q8" s="170"/>
      <c r="R8" s="170"/>
      <c r="S8" s="170"/>
      <c r="T8" s="170"/>
      <c r="U8" s="170"/>
      <c r="V8" s="170"/>
      <c r="W8" s="170"/>
      <c r="X8" s="170"/>
      <c r="Y8" s="170"/>
      <c r="Z8" s="170"/>
    </row>
    <row r="9">
      <c r="A9" s="364" t="s">
        <v>298</v>
      </c>
      <c r="B9" s="377"/>
      <c r="C9" s="358">
        <f t="shared" ref="C9:C10" si="2">29.6*$B$3</f>
        <v>651.2</v>
      </c>
      <c r="D9" s="359" t="s">
        <v>244</v>
      </c>
      <c r="E9" s="360">
        <v>5.393606000158E12</v>
      </c>
      <c r="F9" s="361"/>
      <c r="G9" s="170"/>
      <c r="H9" s="170"/>
      <c r="I9" s="170"/>
      <c r="J9" s="170"/>
      <c r="K9" s="170"/>
      <c r="L9" s="170"/>
      <c r="M9" s="170"/>
      <c r="N9" s="170"/>
      <c r="O9" s="170"/>
      <c r="P9" s="170"/>
      <c r="Q9" s="170"/>
      <c r="R9" s="170"/>
      <c r="S9" s="170"/>
      <c r="T9" s="170"/>
      <c r="U9" s="170"/>
      <c r="V9" s="170"/>
      <c r="W9" s="170"/>
      <c r="X9" s="170"/>
      <c r="Y9" s="170"/>
      <c r="Z9" s="170"/>
    </row>
    <row r="10">
      <c r="A10" s="362" t="s">
        <v>234</v>
      </c>
      <c r="B10" s="367" t="s">
        <v>235</v>
      </c>
      <c r="C10" s="351">
        <f t="shared" si="2"/>
        <v>651.2</v>
      </c>
      <c r="D10" s="367" t="s">
        <v>244</v>
      </c>
      <c r="E10" s="368">
        <v>5.393606000158E12</v>
      </c>
      <c r="F10" s="355"/>
    </row>
    <row r="11">
      <c r="A11" s="382" t="s">
        <v>203</v>
      </c>
      <c r="B11" s="383" t="s">
        <v>204</v>
      </c>
      <c r="C11" s="358"/>
      <c r="D11" s="365" t="s">
        <v>244</v>
      </c>
      <c r="E11" s="366">
        <v>5.393606000158E12</v>
      </c>
      <c r="F11" s="361" t="s">
        <v>312</v>
      </c>
    </row>
    <row r="12">
      <c r="A12" s="362" t="s">
        <v>313</v>
      </c>
      <c r="B12" s="367" t="s">
        <v>314</v>
      </c>
      <c r="C12" s="351">
        <f t="shared" ref="C12:C20" si="3">29.6*$B$3</f>
        <v>651.2</v>
      </c>
      <c r="D12" s="353" t="s">
        <v>244</v>
      </c>
      <c r="E12" s="354">
        <v>5.393606000158E12</v>
      </c>
      <c r="F12" s="394"/>
    </row>
    <row r="13">
      <c r="A13" s="411" t="s">
        <v>147</v>
      </c>
      <c r="B13" s="413" t="s">
        <v>148</v>
      </c>
      <c r="C13" s="358">
        <f t="shared" si="3"/>
        <v>651.2</v>
      </c>
      <c r="D13" s="359" t="s">
        <v>244</v>
      </c>
      <c r="E13" s="360">
        <v>5.393606000158E12</v>
      </c>
      <c r="F13" s="361"/>
    </row>
    <row r="14">
      <c r="A14" s="401" t="s">
        <v>61</v>
      </c>
      <c r="B14" s="403" t="s">
        <v>62</v>
      </c>
      <c r="C14" s="351">
        <f t="shared" si="3"/>
        <v>651.2</v>
      </c>
      <c r="D14" s="353" t="s">
        <v>244</v>
      </c>
      <c r="E14" s="354">
        <v>5.393606000158E12</v>
      </c>
      <c r="F14" s="414"/>
      <c r="G14" s="170"/>
      <c r="H14" s="170"/>
      <c r="I14" s="170"/>
      <c r="J14" s="170"/>
      <c r="K14" s="170"/>
      <c r="L14" s="170"/>
      <c r="M14" s="170"/>
      <c r="N14" s="170"/>
      <c r="O14" s="170"/>
      <c r="P14" s="170"/>
      <c r="Q14" s="170"/>
      <c r="R14" s="170"/>
      <c r="S14" s="170"/>
      <c r="T14" s="170"/>
      <c r="U14" s="170"/>
      <c r="V14" s="170"/>
      <c r="W14" s="170"/>
      <c r="X14" s="170"/>
      <c r="Y14" s="170"/>
      <c r="Z14" s="170"/>
    </row>
    <row r="15">
      <c r="A15" s="369" t="s">
        <v>276</v>
      </c>
      <c r="B15" s="370" t="s">
        <v>283</v>
      </c>
      <c r="C15" s="358">
        <f t="shared" si="3"/>
        <v>651.2</v>
      </c>
      <c r="D15" s="359" t="s">
        <v>244</v>
      </c>
      <c r="E15" s="360">
        <v>5.393606000158E12</v>
      </c>
      <c r="F15" s="361"/>
    </row>
    <row r="16">
      <c r="A16" s="379" t="s">
        <v>299</v>
      </c>
      <c r="B16" s="415"/>
      <c r="C16" s="351">
        <f t="shared" si="3"/>
        <v>651.2</v>
      </c>
      <c r="D16" s="353" t="s">
        <v>244</v>
      </c>
      <c r="E16" s="354">
        <v>5.393606000158E12</v>
      </c>
      <c r="F16" s="355"/>
    </row>
    <row r="17">
      <c r="A17" s="364" t="s">
        <v>164</v>
      </c>
      <c r="B17" s="365" t="s">
        <v>165</v>
      </c>
      <c r="C17" s="358">
        <f t="shared" si="3"/>
        <v>651.2</v>
      </c>
      <c r="D17" s="359" t="s">
        <v>244</v>
      </c>
      <c r="E17" s="360">
        <v>5.393606000158E12</v>
      </c>
      <c r="F17" s="416"/>
    </row>
    <row r="18">
      <c r="A18" s="362" t="s">
        <v>315</v>
      </c>
      <c r="B18" s="367"/>
      <c r="C18" s="351">
        <f t="shared" si="3"/>
        <v>651.2</v>
      </c>
      <c r="D18" s="353" t="s">
        <v>244</v>
      </c>
      <c r="E18" s="354">
        <v>5.393606000158E12</v>
      </c>
      <c r="F18" s="394"/>
    </row>
    <row r="19">
      <c r="A19" s="364" t="s">
        <v>171</v>
      </c>
      <c r="B19" s="417" t="s">
        <v>224</v>
      </c>
      <c r="C19" s="358">
        <f t="shared" si="3"/>
        <v>651.2</v>
      </c>
      <c r="D19" s="359" t="s">
        <v>244</v>
      </c>
      <c r="E19" s="360">
        <v>5.393606000158E12</v>
      </c>
      <c r="F19" s="416"/>
    </row>
    <row r="20">
      <c r="A20" s="362" t="s">
        <v>303</v>
      </c>
      <c r="B20" s="363"/>
      <c r="C20" s="351">
        <f t="shared" si="3"/>
        <v>651.2</v>
      </c>
      <c r="D20" s="353" t="s">
        <v>244</v>
      </c>
      <c r="E20" s="354">
        <v>5.393606000158E12</v>
      </c>
      <c r="F20" s="355"/>
    </row>
    <row r="21">
      <c r="A21" s="364" t="s">
        <v>167</v>
      </c>
      <c r="B21" s="417" t="s">
        <v>201</v>
      </c>
      <c r="C21" s="358"/>
      <c r="D21" s="359" t="s">
        <v>244</v>
      </c>
      <c r="E21" s="360">
        <v>5.393606000158E12</v>
      </c>
      <c r="F21" s="361" t="s">
        <v>312</v>
      </c>
    </row>
    <row r="22">
      <c r="A22" s="362" t="s">
        <v>305</v>
      </c>
      <c r="B22" s="363"/>
      <c r="C22" s="351">
        <f t="shared" ref="C22:C23" si="4">29.6*$B$3</f>
        <v>651.2</v>
      </c>
      <c r="D22" s="353" t="s">
        <v>244</v>
      </c>
      <c r="E22" s="354">
        <v>5.393606000158E12</v>
      </c>
      <c r="F22" s="355"/>
    </row>
    <row r="23">
      <c r="A23" s="364" t="s">
        <v>77</v>
      </c>
      <c r="B23" s="365" t="s">
        <v>78</v>
      </c>
      <c r="C23" s="358">
        <f t="shared" si="4"/>
        <v>651.2</v>
      </c>
      <c r="D23" s="359" t="s">
        <v>244</v>
      </c>
      <c r="E23" s="360">
        <v>5.393606000158E12</v>
      </c>
      <c r="F23" s="416"/>
    </row>
    <row r="24">
      <c r="A24" s="324" t="s">
        <v>288</v>
      </c>
      <c r="B24" s="325"/>
      <c r="C24" s="326">
        <f>SUM(C6:C23)</f>
        <v>10360</v>
      </c>
      <c r="D24" s="321"/>
      <c r="E24" s="322"/>
      <c r="F24" s="327"/>
    </row>
    <row r="25">
      <c r="A25" s="328"/>
      <c r="B25" s="329"/>
      <c r="C25" s="330"/>
      <c r="D25" s="331"/>
      <c r="E25" s="331"/>
      <c r="F25" s="332"/>
      <c r="G25" s="287"/>
    </row>
    <row r="26">
      <c r="A26" s="333"/>
      <c r="B26" s="333"/>
      <c r="C26" s="334"/>
      <c r="D26" s="262"/>
      <c r="E26" s="262"/>
      <c r="F26" s="262"/>
      <c r="G26" s="170"/>
      <c r="H26" s="170"/>
      <c r="I26" s="170"/>
      <c r="J26" s="170"/>
      <c r="K26" s="170"/>
      <c r="L26" s="170"/>
      <c r="M26" s="170"/>
      <c r="N26" s="170"/>
      <c r="O26" s="170"/>
      <c r="P26" s="170"/>
      <c r="Q26" s="170"/>
      <c r="R26" s="170"/>
      <c r="S26" s="170"/>
      <c r="T26" s="170"/>
      <c r="U26" s="170"/>
      <c r="V26" s="170"/>
      <c r="W26" s="170"/>
      <c r="X26" s="170"/>
      <c r="Y26" s="170"/>
      <c r="Z26" s="170"/>
    </row>
    <row r="27">
      <c r="A27" s="333"/>
      <c r="C27" s="334"/>
      <c r="D27" s="262"/>
      <c r="E27" s="262"/>
      <c r="F27" s="262"/>
      <c r="G27" s="170"/>
      <c r="H27" s="170"/>
      <c r="I27" s="170"/>
      <c r="J27" s="170"/>
      <c r="K27" s="170"/>
      <c r="L27" s="170"/>
      <c r="M27" s="170"/>
      <c r="N27" s="170"/>
      <c r="O27" s="170"/>
      <c r="P27" s="170"/>
      <c r="Q27" s="170"/>
      <c r="R27" s="170"/>
      <c r="S27" s="170"/>
      <c r="T27" s="170"/>
      <c r="U27" s="170"/>
      <c r="V27" s="170"/>
      <c r="W27" s="170"/>
      <c r="X27" s="170"/>
      <c r="Y27" s="170"/>
      <c r="Z27" s="170"/>
    </row>
    <row r="28">
      <c r="A28" s="203" t="s">
        <v>3</v>
      </c>
      <c r="F28" s="15"/>
      <c r="G28" s="170"/>
      <c r="H28" s="170"/>
      <c r="I28" s="170"/>
      <c r="J28" s="170"/>
      <c r="K28" s="170"/>
      <c r="L28" s="170"/>
      <c r="M28" s="170"/>
      <c r="N28" s="170"/>
      <c r="O28" s="170"/>
      <c r="P28" s="170"/>
      <c r="Q28" s="170"/>
      <c r="R28" s="170"/>
      <c r="S28" s="170"/>
      <c r="T28" s="170"/>
      <c r="U28" s="170"/>
      <c r="V28" s="170"/>
      <c r="W28" s="170"/>
      <c r="X28" s="170"/>
      <c r="Y28" s="170"/>
      <c r="Z28" s="170"/>
    </row>
    <row r="29">
      <c r="A29" s="225" t="s">
        <v>188</v>
      </c>
      <c r="B29" s="211"/>
      <c r="C29" s="211"/>
      <c r="D29" s="211"/>
      <c r="E29" s="211"/>
      <c r="F29" s="91"/>
      <c r="G29" s="170"/>
      <c r="H29" s="170"/>
      <c r="I29" s="170"/>
      <c r="J29" s="170"/>
      <c r="K29" s="170"/>
      <c r="L29" s="170"/>
      <c r="M29" s="170"/>
      <c r="N29" s="170"/>
      <c r="O29" s="170"/>
      <c r="P29" s="170"/>
      <c r="Q29" s="170"/>
      <c r="R29" s="170"/>
      <c r="S29" s="170"/>
      <c r="T29" s="170"/>
      <c r="U29" s="170"/>
      <c r="V29" s="170"/>
      <c r="W29" s="170"/>
      <c r="X29" s="170"/>
      <c r="Y29" s="170"/>
      <c r="Z29" s="170"/>
    </row>
    <row r="30" ht="26.25" customHeight="1">
      <c r="A30" s="227">
        <v>29.6</v>
      </c>
      <c r="B30" s="228">
        <f>B3</f>
        <v>22</v>
      </c>
      <c r="C30" s="229" t="s">
        <v>21</v>
      </c>
      <c r="D30" s="230" t="s">
        <v>117</v>
      </c>
      <c r="E30" s="230"/>
      <c r="F30" s="5"/>
      <c r="G30" s="170"/>
      <c r="H30" s="170"/>
      <c r="I30" s="170"/>
      <c r="J30" s="170"/>
      <c r="K30" s="170"/>
      <c r="L30" s="170"/>
      <c r="M30" s="170"/>
      <c r="N30" s="170"/>
      <c r="O30" s="170"/>
      <c r="P30" s="170"/>
      <c r="Q30" s="170"/>
      <c r="R30" s="170"/>
      <c r="S30" s="170"/>
      <c r="T30" s="170"/>
      <c r="U30" s="170"/>
      <c r="V30" s="170"/>
      <c r="W30" s="170"/>
      <c r="X30" s="170"/>
      <c r="Y30" s="170"/>
      <c r="Z30" s="170"/>
    </row>
    <row r="31" ht="29.25" customHeight="1">
      <c r="A31" s="232" t="s">
        <v>307</v>
      </c>
      <c r="B31" s="211"/>
      <c r="C31" s="211"/>
      <c r="D31" s="91"/>
      <c r="E31" s="277"/>
      <c r="F31" s="335" t="s">
        <v>24</v>
      </c>
      <c r="G31" s="170"/>
      <c r="H31" s="170"/>
      <c r="I31" s="170"/>
      <c r="J31" s="170"/>
      <c r="K31" s="170"/>
      <c r="L31" s="170"/>
      <c r="M31" s="170"/>
      <c r="N31" s="170"/>
      <c r="O31" s="170"/>
      <c r="P31" s="170"/>
      <c r="Q31" s="170"/>
      <c r="R31" s="170"/>
      <c r="S31" s="170"/>
      <c r="T31" s="170"/>
      <c r="U31" s="170"/>
      <c r="V31" s="170"/>
      <c r="W31" s="170"/>
      <c r="X31" s="170"/>
      <c r="Y31" s="170"/>
      <c r="Z31" s="170"/>
    </row>
    <row r="32" ht="31.5" customHeight="1">
      <c r="A32" s="264" t="s">
        <v>176</v>
      </c>
      <c r="B32" s="265" t="s">
        <v>26</v>
      </c>
      <c r="C32" s="265" t="s">
        <v>119</v>
      </c>
      <c r="D32" s="235" t="s">
        <v>220</v>
      </c>
      <c r="E32" s="278" t="s">
        <v>253</v>
      </c>
      <c r="F32" s="336" t="s">
        <v>28</v>
      </c>
      <c r="G32" s="170"/>
      <c r="H32" s="170"/>
      <c r="I32" s="170"/>
      <c r="J32" s="170"/>
      <c r="K32" s="170"/>
      <c r="L32" s="170"/>
      <c r="M32" s="170"/>
      <c r="N32" s="170"/>
      <c r="O32" s="170"/>
      <c r="P32" s="170"/>
      <c r="Q32" s="170"/>
      <c r="R32" s="170"/>
      <c r="S32" s="170"/>
      <c r="T32" s="170"/>
      <c r="U32" s="170"/>
      <c r="V32" s="170"/>
      <c r="W32" s="170"/>
      <c r="X32" s="170"/>
      <c r="Y32" s="170"/>
      <c r="Z32" s="170"/>
    </row>
    <row r="33">
      <c r="A33" s="386" t="s">
        <v>248</v>
      </c>
      <c r="B33" s="387" t="s">
        <v>239</v>
      </c>
      <c r="C33" s="388">
        <f t="shared" ref="C33:C38" si="5">29.6*$B$3</f>
        <v>651.2</v>
      </c>
      <c r="D33" s="389" t="s">
        <v>244</v>
      </c>
      <c r="E33" s="390">
        <v>5.2803025000127E13</v>
      </c>
      <c r="F33" s="391"/>
      <c r="G33" s="170"/>
      <c r="H33" s="170"/>
      <c r="I33" s="170"/>
      <c r="J33" s="170"/>
      <c r="K33" s="170"/>
      <c r="L33" s="170"/>
      <c r="M33" s="170"/>
      <c r="N33" s="170"/>
      <c r="O33" s="170"/>
      <c r="P33" s="170"/>
      <c r="Q33" s="170"/>
      <c r="R33" s="170"/>
      <c r="S33" s="170"/>
      <c r="T33" s="170"/>
      <c r="U33" s="170"/>
      <c r="V33" s="170"/>
      <c r="W33" s="170"/>
      <c r="X33" s="170"/>
      <c r="Y33" s="170"/>
      <c r="Z33" s="170"/>
    </row>
    <row r="34">
      <c r="A34" s="392" t="s">
        <v>249</v>
      </c>
      <c r="B34" s="393" t="s">
        <v>250</v>
      </c>
      <c r="C34" s="395">
        <f t="shared" si="5"/>
        <v>651.2</v>
      </c>
      <c r="D34" s="396" t="s">
        <v>244</v>
      </c>
      <c r="E34" s="397">
        <v>5.2803025000127E13</v>
      </c>
      <c r="F34" s="398"/>
    </row>
    <row r="35">
      <c r="A35" s="400" t="s">
        <v>80</v>
      </c>
      <c r="B35" s="402" t="s">
        <v>81</v>
      </c>
      <c r="C35" s="395">
        <f t="shared" si="5"/>
        <v>651.2</v>
      </c>
      <c r="D35" s="396" t="s">
        <v>244</v>
      </c>
      <c r="E35" s="397">
        <v>5.2803025000127E13</v>
      </c>
      <c r="F35" s="404"/>
      <c r="H35" s="275">
        <f>29.6*9</f>
        <v>266.4</v>
      </c>
      <c r="I35" s="103">
        <f>29.6*20</f>
        <v>592</v>
      </c>
      <c r="J35" s="103">
        <f>I35-H35</f>
        <v>325.6</v>
      </c>
    </row>
    <row r="36">
      <c r="A36" s="400" t="s">
        <v>59</v>
      </c>
      <c r="B36" s="402" t="s">
        <v>60</v>
      </c>
      <c r="C36" s="395">
        <f t="shared" si="5"/>
        <v>651.2</v>
      </c>
      <c r="D36" s="396" t="s">
        <v>244</v>
      </c>
      <c r="E36" s="397">
        <v>5.2803025000127E13</v>
      </c>
      <c r="F36" s="405"/>
    </row>
    <row r="37">
      <c r="A37" s="392" t="s">
        <v>270</v>
      </c>
      <c r="B37" s="393" t="s">
        <v>271</v>
      </c>
      <c r="C37" s="395">
        <f t="shared" si="5"/>
        <v>651.2</v>
      </c>
      <c r="D37" s="396" t="s">
        <v>244</v>
      </c>
      <c r="E37" s="397">
        <v>5.2803025000127E13</v>
      </c>
      <c r="F37" s="399"/>
    </row>
    <row r="38">
      <c r="A38" s="406" t="s">
        <v>134</v>
      </c>
      <c r="B38" s="410" t="s">
        <v>236</v>
      </c>
      <c r="C38" s="388">
        <f t="shared" si="5"/>
        <v>651.2</v>
      </c>
      <c r="D38" s="389" t="s">
        <v>244</v>
      </c>
      <c r="E38" s="390">
        <v>5.2803025000127E13</v>
      </c>
      <c r="F38" s="412"/>
    </row>
    <row r="39">
      <c r="A39" s="392"/>
      <c r="B39" s="393"/>
      <c r="C39" s="395"/>
      <c r="D39" s="396"/>
      <c r="E39" s="397"/>
      <c r="F39" s="400"/>
    </row>
    <row r="40">
      <c r="A40" s="249"/>
      <c r="B40" s="251"/>
      <c r="C40" s="268"/>
      <c r="D40" s="270"/>
      <c r="E40" s="281"/>
      <c r="F40" s="348"/>
    </row>
    <row r="41">
      <c r="A41" s="290" t="s">
        <v>288</v>
      </c>
      <c r="B41" s="290"/>
      <c r="C41" s="257">
        <f>SUM(C33:C39)</f>
        <v>3907.2</v>
      </c>
      <c r="D41" s="218"/>
      <c r="E41" s="218"/>
      <c r="F41" s="218"/>
    </row>
  </sheetData>
  <autoFilter ref="$A$5:$F$23">
    <sortState ref="A5:F23">
      <sortCondition ref="A5:A23"/>
    </sortState>
  </autoFilter>
  <mergeCells count="7">
    <mergeCell ref="A1:F1"/>
    <mergeCell ref="A2:F2"/>
    <mergeCell ref="A4:D4"/>
    <mergeCell ref="A27:B27"/>
    <mergeCell ref="A28:F28"/>
    <mergeCell ref="A29:F29"/>
    <mergeCell ref="A31:D31"/>
  </mergeCells>
  <printOptions gridLines="1" horizontalCentered="1"/>
  <pageMargins bottom="0.75" footer="0.0" header="0.0" left="0.25" right="0.25" top="0.75"/>
  <pageSetup paperSize="9" cellComments="atEnd" orientation="landscape" pageOrder="overThenDown"/>
  <drawing r:id="rId1"/>
  <tableParts count="1">
    <tablePart r:id="rId3"/>
  </tableParts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22.88"/>
    <col customWidth="1" min="2" max="2" width="14.25"/>
    <col customWidth="1" min="3" max="3" width="10.38"/>
    <col customWidth="1" min="4" max="4" width="14.38"/>
    <col customWidth="1" min="5" max="5" width="14.88"/>
    <col customWidth="1" min="6" max="6" width="52.63"/>
  </cols>
  <sheetData>
    <row r="1" ht="21.75" customHeight="1">
      <c r="A1" s="203" t="s">
        <v>3</v>
      </c>
      <c r="F1" s="15"/>
    </row>
    <row r="2">
      <c r="A2" s="225" t="s">
        <v>198</v>
      </c>
      <c r="B2" s="211"/>
      <c r="C2" s="211"/>
      <c r="D2" s="211"/>
      <c r="E2" s="211"/>
      <c r="F2" s="91"/>
      <c r="G2" s="275" t="s">
        <v>173</v>
      </c>
    </row>
    <row r="3" ht="24.0" customHeight="1">
      <c r="A3" s="227">
        <v>29.6</v>
      </c>
      <c r="B3" s="228">
        <v>23.0</v>
      </c>
      <c r="C3" s="229" t="s">
        <v>21</v>
      </c>
      <c r="D3" s="230"/>
      <c r="E3" s="230"/>
      <c r="F3" s="5"/>
      <c r="G3" s="292">
        <f>C25+C44</f>
        <v>17227.2</v>
      </c>
    </row>
    <row r="4" ht="31.5" customHeight="1">
      <c r="A4" s="232" t="s">
        <v>316</v>
      </c>
      <c r="B4" s="211"/>
      <c r="C4" s="211"/>
      <c r="D4" s="91"/>
      <c r="E4" s="277"/>
      <c r="F4" s="293" t="s">
        <v>24</v>
      </c>
    </row>
    <row r="5" ht="24.75" customHeight="1">
      <c r="A5" s="49" t="s">
        <v>176</v>
      </c>
      <c r="B5" s="50" t="s">
        <v>26</v>
      </c>
      <c r="C5" s="50" t="s">
        <v>119</v>
      </c>
      <c r="D5" s="235" t="s">
        <v>220</v>
      </c>
      <c r="E5" s="278" t="s">
        <v>253</v>
      </c>
      <c r="F5" s="52" t="s">
        <v>28</v>
      </c>
    </row>
    <row r="6">
      <c r="A6" s="379" t="s">
        <v>308</v>
      </c>
      <c r="B6" s="380" t="s">
        <v>309</v>
      </c>
      <c r="C6" s="351">
        <f>29.6*$B$3</f>
        <v>680.8</v>
      </c>
      <c r="D6" s="353" t="s">
        <v>244</v>
      </c>
      <c r="E6" s="354">
        <v>5.393606000158E12</v>
      </c>
      <c r="F6" s="394"/>
    </row>
    <row r="7">
      <c r="A7" s="356" t="s">
        <v>33</v>
      </c>
      <c r="B7" s="357" t="s">
        <v>34</v>
      </c>
      <c r="C7" s="358">
        <f>29.6*9</f>
        <v>266.4</v>
      </c>
      <c r="D7" s="359" t="s">
        <v>244</v>
      </c>
      <c r="E7" s="360">
        <v>5.393606000158E12</v>
      </c>
      <c r="F7" s="361" t="s">
        <v>318</v>
      </c>
    </row>
    <row r="8">
      <c r="A8" s="401" t="s">
        <v>35</v>
      </c>
      <c r="B8" s="403" t="s">
        <v>36</v>
      </c>
      <c r="C8" s="351">
        <f>29.6*21</f>
        <v>621.6</v>
      </c>
      <c r="D8" s="353" t="s">
        <v>244</v>
      </c>
      <c r="E8" s="354">
        <v>5.393606000158E12</v>
      </c>
      <c r="F8" s="355" t="s">
        <v>319</v>
      </c>
      <c r="G8" s="170"/>
      <c r="H8" s="170"/>
      <c r="I8" s="170"/>
      <c r="J8" s="170"/>
      <c r="K8" s="170"/>
      <c r="L8" s="170"/>
      <c r="M8" s="170"/>
      <c r="N8" s="170"/>
      <c r="O8" s="170"/>
      <c r="P8" s="170"/>
      <c r="Q8" s="170"/>
      <c r="R8" s="170"/>
      <c r="S8" s="170"/>
      <c r="T8" s="170"/>
      <c r="U8" s="170"/>
      <c r="V8" s="170"/>
      <c r="W8" s="170"/>
      <c r="X8" s="170"/>
      <c r="Y8" s="170"/>
      <c r="Z8" s="170"/>
    </row>
    <row r="9">
      <c r="A9" s="364" t="s">
        <v>298</v>
      </c>
      <c r="B9" s="377" t="s">
        <v>320</v>
      </c>
      <c r="C9" s="358">
        <f t="shared" ref="C9:C20" si="1">29.6*$B$3</f>
        <v>680.8</v>
      </c>
      <c r="D9" s="359" t="s">
        <v>244</v>
      </c>
      <c r="E9" s="360">
        <v>5.393606000158E12</v>
      </c>
      <c r="F9" s="361"/>
      <c r="G9" s="170"/>
      <c r="H9" s="170"/>
      <c r="I9" s="170"/>
      <c r="J9" s="170"/>
      <c r="K9" s="170"/>
      <c r="L9" s="170"/>
      <c r="M9" s="170"/>
      <c r="N9" s="170"/>
      <c r="O9" s="170"/>
      <c r="P9" s="170"/>
      <c r="Q9" s="170"/>
      <c r="R9" s="170"/>
      <c r="S9" s="170"/>
      <c r="T9" s="170"/>
      <c r="U9" s="170"/>
      <c r="V9" s="170"/>
      <c r="W9" s="170"/>
      <c r="X9" s="170"/>
      <c r="Y9" s="170"/>
      <c r="Z9" s="170"/>
    </row>
    <row r="10">
      <c r="A10" s="362" t="s">
        <v>234</v>
      </c>
      <c r="B10" s="367" t="s">
        <v>235</v>
      </c>
      <c r="C10" s="351">
        <f t="shared" si="1"/>
        <v>680.8</v>
      </c>
      <c r="D10" s="367" t="s">
        <v>244</v>
      </c>
      <c r="E10" s="368">
        <v>5.393606000158E12</v>
      </c>
      <c r="F10" s="355"/>
    </row>
    <row r="11">
      <c r="A11" s="382" t="s">
        <v>203</v>
      </c>
      <c r="B11" s="383" t="s">
        <v>204</v>
      </c>
      <c r="C11" s="358">
        <f t="shared" si="1"/>
        <v>680.8</v>
      </c>
      <c r="D11" s="365" t="s">
        <v>244</v>
      </c>
      <c r="E11" s="366">
        <v>5.393606000158E12</v>
      </c>
      <c r="F11" s="361"/>
    </row>
    <row r="12">
      <c r="A12" s="362" t="s">
        <v>313</v>
      </c>
      <c r="B12" s="367" t="s">
        <v>314</v>
      </c>
      <c r="C12" s="351">
        <f t="shared" si="1"/>
        <v>680.8</v>
      </c>
      <c r="D12" s="353" t="s">
        <v>244</v>
      </c>
      <c r="E12" s="354">
        <v>5.393606000158E12</v>
      </c>
      <c r="F12" s="394"/>
    </row>
    <row r="13">
      <c r="A13" s="411" t="s">
        <v>147</v>
      </c>
      <c r="B13" s="413" t="s">
        <v>148</v>
      </c>
      <c r="C13" s="358">
        <f t="shared" si="1"/>
        <v>680.8</v>
      </c>
      <c r="D13" s="359" t="s">
        <v>244</v>
      </c>
      <c r="E13" s="360">
        <v>5.393606000158E12</v>
      </c>
      <c r="F13" s="361"/>
    </row>
    <row r="14">
      <c r="A14" s="401" t="s">
        <v>61</v>
      </c>
      <c r="B14" s="403" t="s">
        <v>62</v>
      </c>
      <c r="C14" s="351">
        <f t="shared" si="1"/>
        <v>680.8</v>
      </c>
      <c r="D14" s="353" t="s">
        <v>244</v>
      </c>
      <c r="E14" s="354">
        <v>5.393606000158E12</v>
      </c>
      <c r="F14" s="414"/>
      <c r="G14" s="170"/>
      <c r="H14" s="170"/>
      <c r="I14" s="170"/>
      <c r="J14" s="170"/>
      <c r="K14" s="170"/>
      <c r="L14" s="170"/>
      <c r="M14" s="170"/>
      <c r="N14" s="170"/>
      <c r="O14" s="170"/>
      <c r="P14" s="170"/>
      <c r="Q14" s="170"/>
      <c r="R14" s="170"/>
      <c r="S14" s="170"/>
      <c r="T14" s="170"/>
      <c r="U14" s="170"/>
      <c r="V14" s="170"/>
      <c r="W14" s="170"/>
      <c r="X14" s="170"/>
      <c r="Y14" s="170"/>
      <c r="Z14" s="170"/>
    </row>
    <row r="15">
      <c r="A15" s="369" t="s">
        <v>276</v>
      </c>
      <c r="B15" s="370" t="s">
        <v>283</v>
      </c>
      <c r="C15" s="358">
        <f t="shared" si="1"/>
        <v>680.8</v>
      </c>
      <c r="D15" s="359" t="s">
        <v>244</v>
      </c>
      <c r="E15" s="360">
        <v>5.393606000158E12</v>
      </c>
      <c r="F15" s="361"/>
    </row>
    <row r="16">
      <c r="A16" s="379" t="s">
        <v>299</v>
      </c>
      <c r="B16" s="415" t="s">
        <v>321</v>
      </c>
      <c r="C16" s="351">
        <f t="shared" si="1"/>
        <v>680.8</v>
      </c>
      <c r="D16" s="353" t="s">
        <v>244</v>
      </c>
      <c r="E16" s="354">
        <v>5.393606000158E12</v>
      </c>
      <c r="F16" s="355"/>
    </row>
    <row r="17">
      <c r="A17" s="364" t="s">
        <v>164</v>
      </c>
      <c r="B17" s="365" t="s">
        <v>165</v>
      </c>
      <c r="C17" s="358">
        <f t="shared" si="1"/>
        <v>680.8</v>
      </c>
      <c r="D17" s="359" t="s">
        <v>244</v>
      </c>
      <c r="E17" s="360">
        <v>5.393606000158E12</v>
      </c>
      <c r="F17" s="416"/>
    </row>
    <row r="18">
      <c r="A18" s="418" t="s">
        <v>322</v>
      </c>
      <c r="B18" s="367"/>
      <c r="C18" s="351">
        <f t="shared" si="1"/>
        <v>680.8</v>
      </c>
      <c r="D18" s="353" t="s">
        <v>244</v>
      </c>
      <c r="E18" s="354">
        <v>5.393606000158E12</v>
      </c>
      <c r="F18" s="419" t="s">
        <v>323</v>
      </c>
    </row>
    <row r="19">
      <c r="A19" s="364" t="s">
        <v>315</v>
      </c>
      <c r="B19" s="417" t="s">
        <v>325</v>
      </c>
      <c r="C19" s="358">
        <f t="shared" si="1"/>
        <v>680.8</v>
      </c>
      <c r="D19" s="359" t="s">
        <v>244</v>
      </c>
      <c r="E19" s="360">
        <v>5.393606000158E12</v>
      </c>
      <c r="F19" s="423"/>
    </row>
    <row r="20">
      <c r="A20" s="362" t="s">
        <v>171</v>
      </c>
      <c r="B20" s="385" t="s">
        <v>224</v>
      </c>
      <c r="C20" s="351">
        <f t="shared" si="1"/>
        <v>680.8</v>
      </c>
      <c r="D20" s="353" t="s">
        <v>244</v>
      </c>
      <c r="E20" s="354">
        <v>5.393606000158E12</v>
      </c>
      <c r="F20" s="381"/>
    </row>
    <row r="21">
      <c r="A21" s="364" t="s">
        <v>303</v>
      </c>
      <c r="B21" s="377"/>
      <c r="C21" s="358">
        <v>0.0</v>
      </c>
      <c r="D21" s="359" t="s">
        <v>244</v>
      </c>
      <c r="E21" s="360">
        <v>5.393606000158E12</v>
      </c>
      <c r="F21" s="361" t="s">
        <v>331</v>
      </c>
    </row>
    <row r="22">
      <c r="A22" s="362" t="s">
        <v>167</v>
      </c>
      <c r="B22" s="385" t="s">
        <v>201</v>
      </c>
      <c r="C22" s="351">
        <f t="shared" ref="C22:C24" si="2">29.6*$B$3</f>
        <v>680.8</v>
      </c>
      <c r="D22" s="353" t="s">
        <v>244</v>
      </c>
      <c r="E22" s="354">
        <v>5.393606000158E12</v>
      </c>
      <c r="F22" s="355"/>
    </row>
    <row r="23">
      <c r="A23" s="364" t="s">
        <v>305</v>
      </c>
      <c r="B23" s="377" t="s">
        <v>336</v>
      </c>
      <c r="C23" s="358">
        <f t="shared" si="2"/>
        <v>680.8</v>
      </c>
      <c r="D23" s="359" t="s">
        <v>244</v>
      </c>
      <c r="E23" s="360">
        <v>5.393606000158E12</v>
      </c>
      <c r="F23" s="361"/>
    </row>
    <row r="24">
      <c r="A24" s="362" t="s">
        <v>77</v>
      </c>
      <c r="B24" s="367" t="s">
        <v>78</v>
      </c>
      <c r="C24" s="351">
        <f t="shared" si="2"/>
        <v>680.8</v>
      </c>
      <c r="D24" s="353" t="s">
        <v>244</v>
      </c>
      <c r="E24" s="354">
        <v>5.393606000158E12</v>
      </c>
      <c r="F24" s="381"/>
    </row>
    <row r="25">
      <c r="A25" s="324" t="s">
        <v>288</v>
      </c>
      <c r="B25" s="325"/>
      <c r="C25" s="326">
        <f>SUM(C6:C24)</f>
        <v>11780.8</v>
      </c>
      <c r="D25" s="321"/>
      <c r="E25" s="322"/>
      <c r="F25" s="327"/>
    </row>
    <row r="26">
      <c r="A26" s="328"/>
      <c r="B26" s="329"/>
      <c r="C26" s="330">
        <f>C25-C18</f>
        <v>11100</v>
      </c>
      <c r="D26" s="331"/>
      <c r="E26" s="331"/>
      <c r="F26" s="332"/>
      <c r="G26" s="287"/>
    </row>
    <row r="27">
      <c r="A27" s="333"/>
      <c r="B27" s="333"/>
      <c r="C27" s="334"/>
      <c r="D27" s="262"/>
      <c r="E27" s="262"/>
      <c r="F27" s="262"/>
      <c r="G27" s="170"/>
      <c r="H27" s="170"/>
      <c r="I27" s="170"/>
      <c r="J27" s="170"/>
      <c r="K27" s="170"/>
      <c r="L27" s="170"/>
      <c r="M27" s="170"/>
      <c r="N27" s="170"/>
      <c r="O27" s="170"/>
      <c r="P27" s="170"/>
      <c r="Q27" s="170"/>
      <c r="R27" s="170"/>
      <c r="S27" s="170"/>
      <c r="T27" s="170"/>
      <c r="U27" s="170"/>
      <c r="V27" s="170"/>
      <c r="W27" s="170"/>
      <c r="X27" s="170"/>
      <c r="Y27" s="170"/>
      <c r="Z27" s="170"/>
    </row>
    <row r="28">
      <c r="A28" s="333"/>
      <c r="C28" s="334"/>
      <c r="D28" s="262"/>
      <c r="E28" s="262"/>
      <c r="F28" s="262"/>
      <c r="G28" s="170"/>
      <c r="H28" s="170"/>
      <c r="I28" s="170"/>
      <c r="J28" s="170"/>
      <c r="K28" s="170"/>
      <c r="L28" s="170"/>
      <c r="M28" s="170"/>
      <c r="N28" s="170"/>
      <c r="O28" s="170"/>
      <c r="P28" s="170"/>
      <c r="Q28" s="170"/>
      <c r="R28" s="170"/>
      <c r="S28" s="170"/>
      <c r="T28" s="170"/>
      <c r="U28" s="170"/>
      <c r="V28" s="170"/>
      <c r="W28" s="170"/>
      <c r="X28" s="170"/>
      <c r="Y28" s="170"/>
      <c r="Z28" s="170"/>
    </row>
    <row r="29">
      <c r="A29" s="203" t="s">
        <v>3</v>
      </c>
      <c r="F29" s="15"/>
      <c r="G29" s="170"/>
      <c r="H29" s="170"/>
      <c r="I29" s="170"/>
      <c r="J29" s="170"/>
      <c r="K29" s="170"/>
      <c r="L29" s="170"/>
      <c r="M29" s="170"/>
      <c r="N29" s="170"/>
      <c r="O29" s="170"/>
      <c r="P29" s="170"/>
      <c r="Q29" s="170"/>
      <c r="R29" s="170"/>
      <c r="S29" s="170"/>
      <c r="T29" s="170"/>
      <c r="U29" s="170"/>
      <c r="V29" s="170"/>
      <c r="W29" s="170"/>
      <c r="X29" s="170"/>
      <c r="Y29" s="170"/>
      <c r="Z29" s="170"/>
    </row>
    <row r="30">
      <c r="A30" s="225" t="s">
        <v>188</v>
      </c>
      <c r="B30" s="211"/>
      <c r="C30" s="211"/>
      <c r="D30" s="211"/>
      <c r="E30" s="211"/>
      <c r="F30" s="91"/>
      <c r="G30" s="170"/>
      <c r="H30" s="170"/>
      <c r="I30" s="170"/>
      <c r="J30" s="170"/>
      <c r="K30" s="170"/>
      <c r="L30" s="170"/>
      <c r="M30" s="170"/>
      <c r="N30" s="170"/>
      <c r="O30" s="170"/>
      <c r="P30" s="170"/>
      <c r="Q30" s="170"/>
      <c r="R30" s="170"/>
      <c r="S30" s="170"/>
      <c r="T30" s="170"/>
      <c r="U30" s="170"/>
      <c r="V30" s="170"/>
      <c r="W30" s="170"/>
      <c r="X30" s="170"/>
      <c r="Y30" s="170"/>
      <c r="Z30" s="170"/>
    </row>
    <row r="31" ht="26.25" customHeight="1">
      <c r="A31" s="227">
        <v>29.6</v>
      </c>
      <c r="B31" s="228">
        <f>B3</f>
        <v>23</v>
      </c>
      <c r="C31" s="229" t="s">
        <v>21</v>
      </c>
      <c r="D31" s="230" t="s">
        <v>117</v>
      </c>
      <c r="E31" s="230"/>
      <c r="F31" s="5"/>
      <c r="G31" s="170"/>
      <c r="H31" s="170"/>
      <c r="I31" s="170"/>
      <c r="J31" s="170"/>
      <c r="K31" s="170"/>
      <c r="L31" s="170"/>
      <c r="M31" s="170"/>
      <c r="N31" s="170"/>
      <c r="O31" s="170"/>
      <c r="P31" s="170"/>
      <c r="Q31" s="170"/>
      <c r="R31" s="170"/>
      <c r="S31" s="170"/>
      <c r="T31" s="170"/>
      <c r="U31" s="170"/>
      <c r="V31" s="170"/>
      <c r="W31" s="170"/>
      <c r="X31" s="170"/>
      <c r="Y31" s="170"/>
      <c r="Z31" s="170"/>
    </row>
    <row r="32" ht="29.25" customHeight="1">
      <c r="A32" s="232" t="s">
        <v>316</v>
      </c>
      <c r="B32" s="211"/>
      <c r="C32" s="211"/>
      <c r="D32" s="91"/>
      <c r="E32" s="277"/>
      <c r="F32" s="335" t="s">
        <v>24</v>
      </c>
      <c r="G32" s="170"/>
      <c r="H32" s="170"/>
      <c r="I32" s="170"/>
      <c r="J32" s="170"/>
      <c r="K32" s="170"/>
      <c r="L32" s="170"/>
      <c r="M32" s="170"/>
      <c r="N32" s="170"/>
      <c r="O32" s="170"/>
      <c r="P32" s="170"/>
      <c r="Q32" s="170"/>
      <c r="R32" s="170"/>
      <c r="S32" s="170"/>
      <c r="T32" s="170"/>
      <c r="U32" s="170"/>
      <c r="V32" s="170"/>
      <c r="W32" s="170"/>
      <c r="X32" s="170"/>
      <c r="Y32" s="170"/>
      <c r="Z32" s="170"/>
    </row>
    <row r="33" ht="31.5" customHeight="1">
      <c r="A33" s="264" t="s">
        <v>176</v>
      </c>
      <c r="B33" s="265" t="s">
        <v>26</v>
      </c>
      <c r="C33" s="265" t="s">
        <v>119</v>
      </c>
      <c r="D33" s="235" t="s">
        <v>220</v>
      </c>
      <c r="E33" s="278" t="s">
        <v>253</v>
      </c>
      <c r="F33" s="336" t="s">
        <v>28</v>
      </c>
      <c r="G33" s="170"/>
      <c r="H33" s="170"/>
      <c r="I33" s="170"/>
      <c r="J33" s="170"/>
      <c r="K33" s="170"/>
      <c r="L33" s="170"/>
      <c r="M33" s="170"/>
      <c r="N33" s="170"/>
      <c r="O33" s="170"/>
      <c r="P33" s="170"/>
      <c r="Q33" s="170"/>
      <c r="R33" s="170"/>
      <c r="S33" s="170"/>
      <c r="T33" s="170"/>
      <c r="U33" s="170"/>
      <c r="V33" s="170"/>
      <c r="W33" s="170"/>
      <c r="X33" s="170"/>
      <c r="Y33" s="170"/>
      <c r="Z33" s="170"/>
    </row>
    <row r="34">
      <c r="A34" s="386" t="s">
        <v>248</v>
      </c>
      <c r="B34" s="387" t="s">
        <v>239</v>
      </c>
      <c r="C34" s="388">
        <f t="shared" ref="C34:C41" si="3">29.6*$B$3</f>
        <v>680.8</v>
      </c>
      <c r="D34" s="389" t="s">
        <v>244</v>
      </c>
      <c r="E34" s="390">
        <v>5.2803025000127E13</v>
      </c>
      <c r="F34" s="391"/>
      <c r="G34" s="170"/>
      <c r="H34" s="170"/>
      <c r="I34" s="170"/>
      <c r="J34" s="170"/>
      <c r="K34" s="170"/>
      <c r="L34" s="170"/>
      <c r="M34" s="170"/>
      <c r="N34" s="170"/>
      <c r="O34" s="170"/>
      <c r="P34" s="170"/>
      <c r="Q34" s="170"/>
      <c r="R34" s="170"/>
      <c r="S34" s="170"/>
      <c r="T34" s="170"/>
      <c r="U34" s="170"/>
      <c r="V34" s="170"/>
      <c r="W34" s="170"/>
      <c r="X34" s="170"/>
      <c r="Y34" s="170"/>
      <c r="Z34" s="170"/>
    </row>
    <row r="35">
      <c r="A35" s="392" t="s">
        <v>363</v>
      </c>
      <c r="B35" s="449" t="s">
        <v>364</v>
      </c>
      <c r="C35" s="388">
        <f t="shared" si="3"/>
        <v>680.8</v>
      </c>
      <c r="D35" s="389" t="s">
        <v>244</v>
      </c>
      <c r="E35" s="390">
        <v>5.2803025000127E13</v>
      </c>
      <c r="F35" s="450" t="s">
        <v>367</v>
      </c>
    </row>
    <row r="36">
      <c r="A36" s="392" t="s">
        <v>249</v>
      </c>
      <c r="B36" s="393" t="s">
        <v>250</v>
      </c>
      <c r="C36" s="395">
        <f t="shared" si="3"/>
        <v>680.8</v>
      </c>
      <c r="D36" s="396" t="s">
        <v>244</v>
      </c>
      <c r="E36" s="397">
        <v>5.2803025000127E13</v>
      </c>
      <c r="F36" s="398"/>
    </row>
    <row r="37">
      <c r="A37" s="400" t="s">
        <v>80</v>
      </c>
      <c r="B37" s="402" t="s">
        <v>81</v>
      </c>
      <c r="C37" s="395">
        <f t="shared" si="3"/>
        <v>680.8</v>
      </c>
      <c r="D37" s="396" t="s">
        <v>244</v>
      </c>
      <c r="E37" s="397">
        <v>5.2803025000127E13</v>
      </c>
      <c r="F37" s="404"/>
      <c r="H37" s="275">
        <f>29.6*9</f>
        <v>266.4</v>
      </c>
      <c r="I37" s="103">
        <f>29.6*20</f>
        <v>592</v>
      </c>
      <c r="J37" s="103">
        <f>I37-H37</f>
        <v>325.6</v>
      </c>
    </row>
    <row r="38">
      <c r="A38" s="400" t="s">
        <v>59</v>
      </c>
      <c r="B38" s="402" t="s">
        <v>60</v>
      </c>
      <c r="C38" s="395">
        <f t="shared" si="3"/>
        <v>680.8</v>
      </c>
      <c r="D38" s="396" t="s">
        <v>244</v>
      </c>
      <c r="E38" s="397">
        <v>5.2803025000127E13</v>
      </c>
      <c r="F38" s="405"/>
    </row>
    <row r="39">
      <c r="A39" s="392" t="s">
        <v>270</v>
      </c>
      <c r="B39" s="393" t="s">
        <v>271</v>
      </c>
      <c r="C39" s="395">
        <f t="shared" si="3"/>
        <v>680.8</v>
      </c>
      <c r="D39" s="396" t="s">
        <v>244</v>
      </c>
      <c r="E39" s="397">
        <v>5.2803025000127E13</v>
      </c>
      <c r="F39" s="399"/>
    </row>
    <row r="40">
      <c r="A40" s="386" t="s">
        <v>394</v>
      </c>
      <c r="B40" s="389" t="s">
        <v>395</v>
      </c>
      <c r="C40" s="395">
        <f t="shared" si="3"/>
        <v>680.8</v>
      </c>
      <c r="D40" s="396" t="s">
        <v>244</v>
      </c>
      <c r="E40" s="397">
        <v>5.2803025000127E13</v>
      </c>
      <c r="F40" s="450" t="s">
        <v>367</v>
      </c>
    </row>
    <row r="41">
      <c r="A41" s="406" t="s">
        <v>134</v>
      </c>
      <c r="B41" s="410" t="s">
        <v>236</v>
      </c>
      <c r="C41" s="388">
        <f t="shared" si="3"/>
        <v>680.8</v>
      </c>
      <c r="D41" s="389" t="s">
        <v>244</v>
      </c>
      <c r="E41" s="390">
        <v>5.2803025000127E13</v>
      </c>
      <c r="F41" s="412"/>
    </row>
    <row r="42">
      <c r="A42" s="392"/>
      <c r="B42" s="393"/>
      <c r="C42" s="395"/>
      <c r="D42" s="396"/>
      <c r="E42" s="397"/>
      <c r="F42" s="400"/>
    </row>
    <row r="43">
      <c r="A43" s="249"/>
      <c r="B43" s="251"/>
      <c r="C43" s="268"/>
      <c r="D43" s="270"/>
      <c r="E43" s="281"/>
      <c r="F43" s="348"/>
    </row>
    <row r="44">
      <c r="A44" s="290" t="s">
        <v>288</v>
      </c>
      <c r="B44" s="290"/>
      <c r="C44" s="257">
        <f>SUM(C34:C42)</f>
        <v>5446.4</v>
      </c>
      <c r="D44" s="218"/>
      <c r="E44" s="218"/>
      <c r="F44" s="218"/>
    </row>
  </sheetData>
  <autoFilter ref="$A$5:$F$24">
    <sortState ref="A5:F24">
      <sortCondition ref="A5:A24"/>
    </sortState>
  </autoFilter>
  <mergeCells count="7">
    <mergeCell ref="A1:F1"/>
    <mergeCell ref="A2:F2"/>
    <mergeCell ref="A4:D4"/>
    <mergeCell ref="A28:B28"/>
    <mergeCell ref="A29:F29"/>
    <mergeCell ref="A30:F30"/>
    <mergeCell ref="A32:D32"/>
  </mergeCells>
  <printOptions gridLines="1" horizontalCentered="1"/>
  <pageMargins bottom="0.75" footer="0.0" header="0.0" left="0.25" right="0.25" top="0.75"/>
  <pageSetup paperSize="9" cellComments="atEnd" orientation="landscape" pageOrder="overThenDown"/>
  <drawing r:id="rId1"/>
  <tableParts count="1">
    <tablePart r:id="rId3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77.13"/>
    <col customWidth="1" min="2" max="2" width="14.25"/>
    <col customWidth="1" min="3" max="3" width="10.63"/>
    <col customWidth="1" min="4" max="4" width="12.13"/>
    <col customWidth="1" min="5" max="5" width="16.5"/>
    <col customWidth="1" min="6" max="6" width="21.25"/>
    <col customWidth="1" min="7" max="7" width="3.75"/>
  </cols>
  <sheetData>
    <row r="1">
      <c r="A1" s="420" t="s">
        <v>324</v>
      </c>
      <c r="B1" s="331"/>
      <c r="C1" s="421"/>
      <c r="D1" s="331"/>
      <c r="E1" s="331"/>
      <c r="F1" s="422"/>
    </row>
    <row r="2">
      <c r="A2" s="420" t="s">
        <v>326</v>
      </c>
      <c r="B2" s="331"/>
      <c r="C2" s="421"/>
      <c r="D2" s="331"/>
      <c r="E2" s="331"/>
      <c r="F2" s="424"/>
    </row>
    <row r="3">
      <c r="A3" s="420" t="s">
        <v>327</v>
      </c>
      <c r="B3" s="331"/>
      <c r="C3" s="421"/>
      <c r="D3" s="331"/>
      <c r="E3" s="331"/>
      <c r="F3" s="422"/>
    </row>
    <row r="4">
      <c r="A4" s="420" t="s">
        <v>328</v>
      </c>
      <c r="B4" s="425"/>
      <c r="C4" s="421"/>
      <c r="D4" s="331"/>
      <c r="E4" s="331"/>
      <c r="F4" s="148"/>
    </row>
    <row r="5">
      <c r="A5" s="420" t="s">
        <v>329</v>
      </c>
      <c r="B5" s="331"/>
      <c r="C5" s="421"/>
      <c r="D5" s="331"/>
      <c r="E5" s="331"/>
      <c r="F5" s="148"/>
    </row>
    <row r="6">
      <c r="A6" s="420" t="s">
        <v>13</v>
      </c>
      <c r="B6" s="426"/>
      <c r="C6" s="421"/>
      <c r="D6" s="331"/>
      <c r="E6" s="331"/>
      <c r="F6" s="148"/>
    </row>
    <row r="7">
      <c r="A7" s="420" t="s">
        <v>330</v>
      </c>
      <c r="B7" s="426"/>
      <c r="C7" s="421"/>
      <c r="D7" s="331"/>
      <c r="E7" s="331"/>
      <c r="F7" s="148"/>
    </row>
    <row r="8">
      <c r="A8" s="420" t="s">
        <v>332</v>
      </c>
      <c r="B8" s="427"/>
      <c r="C8" s="421"/>
      <c r="D8" s="331"/>
      <c r="E8" s="331"/>
      <c r="F8" s="148"/>
    </row>
    <row r="9">
      <c r="A9" s="420" t="s">
        <v>333</v>
      </c>
      <c r="B9" s="427"/>
      <c r="C9" s="421"/>
      <c r="D9" s="331"/>
      <c r="E9" s="331"/>
      <c r="F9" s="148"/>
    </row>
    <row r="10">
      <c r="A10" s="428"/>
      <c r="B10" s="426"/>
      <c r="C10" s="421"/>
      <c r="D10" s="331"/>
      <c r="E10" s="331"/>
      <c r="F10" s="148"/>
    </row>
    <row r="11">
      <c r="A11" s="420" t="s">
        <v>334</v>
      </c>
      <c r="B11" s="427"/>
      <c r="C11" s="421"/>
      <c r="D11" s="331"/>
      <c r="E11" s="331"/>
      <c r="F11" s="148"/>
    </row>
    <row r="12">
      <c r="A12" s="428"/>
      <c r="B12" s="427"/>
      <c r="C12" s="421"/>
      <c r="D12" s="331"/>
      <c r="E12" s="331"/>
      <c r="F12" s="148"/>
    </row>
    <row r="13">
      <c r="A13" s="420" t="s">
        <v>324</v>
      </c>
      <c r="B13" s="429"/>
      <c r="C13" s="421"/>
      <c r="D13" s="331"/>
      <c r="E13" s="331"/>
      <c r="F13" s="148"/>
    </row>
    <row r="14">
      <c r="A14" s="420" t="s">
        <v>335</v>
      </c>
      <c r="B14" s="429"/>
      <c r="C14" s="421"/>
      <c r="D14" s="331"/>
      <c r="E14" s="331"/>
      <c r="F14" s="424"/>
    </row>
    <row r="15">
      <c r="A15" s="420" t="s">
        <v>337</v>
      </c>
      <c r="B15" s="430"/>
      <c r="C15" s="421"/>
      <c r="D15" s="331"/>
      <c r="E15" s="331"/>
    </row>
    <row r="16">
      <c r="A16" s="420" t="s">
        <v>328</v>
      </c>
      <c r="B16" s="329"/>
      <c r="C16" s="421"/>
      <c r="D16" s="331"/>
      <c r="E16" s="331"/>
      <c r="F16" s="422"/>
    </row>
    <row r="17">
      <c r="A17" s="420" t="s">
        <v>329</v>
      </c>
      <c r="B17" s="329"/>
      <c r="C17" s="421"/>
      <c r="D17" s="331"/>
      <c r="E17" s="331"/>
      <c r="F17" s="422"/>
    </row>
    <row r="18">
      <c r="A18" s="420" t="s">
        <v>13</v>
      </c>
      <c r="B18" s="329"/>
      <c r="C18" s="431"/>
      <c r="D18" s="426"/>
      <c r="E18" s="426"/>
    </row>
    <row r="19">
      <c r="A19" s="420" t="s">
        <v>330</v>
      </c>
      <c r="B19" s="329"/>
      <c r="C19" s="431"/>
      <c r="D19" s="426"/>
      <c r="E19" s="426"/>
    </row>
    <row r="20">
      <c r="A20" s="420" t="s">
        <v>332</v>
      </c>
      <c r="B20" s="432"/>
      <c r="C20" s="433"/>
      <c r="D20" s="434"/>
      <c r="E20" s="434"/>
      <c r="F20" s="434"/>
      <c r="H20" s="170"/>
      <c r="I20" s="170"/>
      <c r="J20" s="170"/>
      <c r="K20" s="170"/>
      <c r="L20" s="170"/>
      <c r="M20" s="170"/>
      <c r="N20" s="170"/>
      <c r="O20" s="170"/>
      <c r="P20" s="170"/>
      <c r="Q20" s="170"/>
      <c r="R20" s="170"/>
      <c r="S20" s="170"/>
      <c r="T20" s="170"/>
      <c r="U20" s="170"/>
      <c r="V20" s="170"/>
      <c r="W20" s="170"/>
      <c r="X20" s="170"/>
      <c r="Y20" s="170"/>
      <c r="Z20" s="170"/>
      <c r="AA20" s="170"/>
    </row>
    <row r="21">
      <c r="A21" s="420" t="s">
        <v>333</v>
      </c>
      <c r="B21" s="435"/>
      <c r="C21" s="435"/>
      <c r="D21" s="435"/>
      <c r="E21" s="435"/>
      <c r="F21" s="435"/>
      <c r="G21" s="435"/>
      <c r="H21" s="170"/>
      <c r="I21" s="170"/>
      <c r="J21" s="170"/>
      <c r="K21" s="170"/>
      <c r="L21" s="170"/>
      <c r="M21" s="170"/>
      <c r="N21" s="170"/>
      <c r="O21" s="170"/>
      <c r="P21" s="170"/>
      <c r="Q21" s="170"/>
      <c r="R21" s="170"/>
      <c r="S21" s="170"/>
      <c r="T21" s="170"/>
      <c r="U21" s="170"/>
      <c r="V21" s="170"/>
      <c r="W21" s="170"/>
      <c r="X21" s="170"/>
      <c r="Y21" s="170"/>
      <c r="Z21" s="170"/>
      <c r="AA21" s="170"/>
    </row>
    <row r="22" ht="26.25" customHeight="1">
      <c r="A22" s="436"/>
      <c r="B22" s="437"/>
      <c r="C22" s="438"/>
      <c r="D22" s="439"/>
      <c r="E22" s="439"/>
      <c r="F22" s="440"/>
      <c r="G22" s="440"/>
      <c r="H22" s="170"/>
      <c r="I22" s="170"/>
      <c r="J22" s="170"/>
      <c r="K22" s="170"/>
      <c r="L22" s="170"/>
      <c r="M22" s="170"/>
      <c r="N22" s="170"/>
      <c r="O22" s="170"/>
      <c r="P22" s="170"/>
      <c r="Q22" s="170"/>
      <c r="R22" s="170"/>
      <c r="S22" s="170"/>
      <c r="T22" s="170"/>
      <c r="U22" s="170"/>
      <c r="V22" s="170"/>
      <c r="W22" s="170"/>
      <c r="X22" s="170"/>
      <c r="Y22" s="170"/>
      <c r="Z22" s="170"/>
      <c r="AA22" s="170"/>
    </row>
    <row r="23" ht="29.25" customHeight="1">
      <c r="A23" s="420" t="s">
        <v>338</v>
      </c>
      <c r="B23" s="441"/>
      <c r="C23" s="441"/>
      <c r="D23" s="441"/>
      <c r="E23" s="441"/>
      <c r="F23" s="438"/>
      <c r="H23" s="170"/>
      <c r="I23" s="170"/>
      <c r="J23" s="170"/>
      <c r="K23" s="170"/>
      <c r="L23" s="170"/>
      <c r="M23" s="170"/>
      <c r="N23" s="170"/>
      <c r="O23" s="170"/>
      <c r="P23" s="170"/>
      <c r="Q23" s="170"/>
      <c r="R23" s="170"/>
      <c r="S23" s="170"/>
      <c r="T23" s="170"/>
      <c r="U23" s="170"/>
      <c r="V23" s="170"/>
      <c r="W23" s="170"/>
      <c r="X23" s="170"/>
      <c r="Y23" s="170"/>
      <c r="Z23" s="170"/>
      <c r="AA23" s="170"/>
    </row>
    <row r="24" ht="31.5" customHeight="1">
      <c r="A24" s="428"/>
      <c r="B24" s="438"/>
      <c r="C24" s="438"/>
      <c r="D24" s="442"/>
      <c r="E24" s="442"/>
      <c r="F24" s="438"/>
      <c r="H24" s="170"/>
      <c r="I24" s="170"/>
      <c r="J24" s="170"/>
      <c r="K24" s="170"/>
      <c r="L24" s="170"/>
      <c r="M24" s="170"/>
      <c r="N24" s="170"/>
      <c r="O24" s="170"/>
      <c r="P24" s="170"/>
      <c r="Q24" s="170"/>
      <c r="R24" s="170"/>
      <c r="S24" s="170"/>
      <c r="T24" s="170"/>
      <c r="U24" s="170"/>
      <c r="V24" s="170"/>
      <c r="W24" s="170"/>
      <c r="X24" s="170"/>
      <c r="Y24" s="170"/>
      <c r="Z24" s="170"/>
      <c r="AA24" s="170"/>
    </row>
    <row r="25">
      <c r="A25" s="420" t="s">
        <v>324</v>
      </c>
      <c r="B25" s="429"/>
      <c r="C25" s="443"/>
      <c r="D25" s="427"/>
      <c r="E25" s="427"/>
      <c r="F25" s="444"/>
      <c r="H25" s="170"/>
      <c r="I25" s="170"/>
      <c r="J25" s="170"/>
      <c r="K25" s="170"/>
      <c r="L25" s="170"/>
      <c r="M25" s="170"/>
      <c r="N25" s="170"/>
      <c r="O25" s="170"/>
      <c r="P25" s="170"/>
      <c r="Q25" s="170"/>
      <c r="R25" s="170"/>
      <c r="S25" s="170"/>
      <c r="T25" s="170"/>
      <c r="U25" s="170"/>
      <c r="V25" s="170"/>
      <c r="W25" s="170"/>
      <c r="X25" s="170"/>
      <c r="Y25" s="170"/>
      <c r="Z25" s="170"/>
      <c r="AA25" s="170"/>
    </row>
    <row r="26">
      <c r="A26" s="420" t="s">
        <v>339</v>
      </c>
      <c r="B26" s="427"/>
      <c r="C26" s="443"/>
      <c r="D26" s="427"/>
      <c r="E26" s="427"/>
      <c r="F26" s="445"/>
      <c r="G26" s="445"/>
    </row>
    <row r="27">
      <c r="A27" s="420" t="s">
        <v>340</v>
      </c>
      <c r="B27" s="427"/>
      <c r="C27" s="446"/>
      <c r="D27" s="427"/>
      <c r="E27" s="427"/>
      <c r="F27" s="422"/>
    </row>
    <row r="28">
      <c r="A28" s="420" t="s">
        <v>328</v>
      </c>
      <c r="B28" s="447"/>
      <c r="C28" s="443"/>
      <c r="D28" s="427"/>
      <c r="E28" s="427"/>
      <c r="F28" s="445"/>
    </row>
    <row r="29">
      <c r="A29" s="420" t="s">
        <v>329</v>
      </c>
      <c r="B29" s="447"/>
      <c r="C29" s="443"/>
      <c r="D29" s="427"/>
      <c r="E29" s="427"/>
      <c r="F29" s="170"/>
    </row>
    <row r="30">
      <c r="A30" s="420" t="s">
        <v>13</v>
      </c>
      <c r="B30" s="427"/>
      <c r="C30" s="446"/>
      <c r="D30" s="427"/>
      <c r="E30" s="427"/>
      <c r="F30" s="422"/>
    </row>
    <row r="31">
      <c r="A31" s="420" t="s">
        <v>330</v>
      </c>
      <c r="B31" s="447"/>
      <c r="C31" s="443"/>
      <c r="D31" s="427"/>
      <c r="E31" s="427"/>
      <c r="F31" s="170"/>
    </row>
    <row r="32">
      <c r="A32" s="420" t="s">
        <v>332</v>
      </c>
      <c r="B32" s="427"/>
      <c r="C32" s="443"/>
      <c r="D32" s="427"/>
      <c r="E32" s="427"/>
      <c r="F32" s="170"/>
    </row>
    <row r="33">
      <c r="A33" s="420" t="s">
        <v>333</v>
      </c>
      <c r="B33" s="427"/>
      <c r="C33" s="443"/>
      <c r="D33" s="427"/>
      <c r="E33" s="427"/>
      <c r="F33" s="170"/>
      <c r="G33" s="170"/>
    </row>
    <row r="34">
      <c r="A34" s="428"/>
      <c r="B34" s="427"/>
      <c r="C34" s="443"/>
      <c r="D34" s="427"/>
      <c r="E34" s="427"/>
      <c r="F34" s="170"/>
      <c r="G34" s="170"/>
    </row>
    <row r="35">
      <c r="A35" s="420" t="s">
        <v>341</v>
      </c>
      <c r="B35" s="427"/>
      <c r="C35" s="443"/>
      <c r="D35" s="427"/>
      <c r="E35" s="427"/>
      <c r="F35" s="170"/>
      <c r="G35" s="170"/>
    </row>
    <row r="36">
      <c r="A36" s="428"/>
      <c r="B36" s="432"/>
      <c r="C36" s="433"/>
      <c r="D36" s="434"/>
      <c r="E36" s="434"/>
      <c r="F36" s="434"/>
    </row>
    <row r="37">
      <c r="A37" s="420" t="s">
        <v>324</v>
      </c>
    </row>
    <row r="38">
      <c r="A38" s="420" t="s">
        <v>342</v>
      </c>
    </row>
    <row r="39">
      <c r="A39" s="420" t="s">
        <v>343</v>
      </c>
    </row>
    <row r="40">
      <c r="A40" s="420" t="s">
        <v>328</v>
      </c>
    </row>
    <row r="41">
      <c r="A41" s="420" t="s">
        <v>329</v>
      </c>
    </row>
    <row r="42">
      <c r="A42" s="420" t="s">
        <v>13</v>
      </c>
    </row>
    <row r="43">
      <c r="A43" s="420" t="s">
        <v>330</v>
      </c>
    </row>
    <row r="44">
      <c r="A44" s="420" t="s">
        <v>332</v>
      </c>
    </row>
    <row r="45">
      <c r="A45" s="420" t="s">
        <v>333</v>
      </c>
    </row>
    <row r="46">
      <c r="A46" s="448"/>
    </row>
    <row r="47">
      <c r="A47" s="420" t="s">
        <v>344</v>
      </c>
    </row>
    <row r="48">
      <c r="A48" s="448"/>
    </row>
    <row r="49">
      <c r="A49" s="420" t="s">
        <v>324</v>
      </c>
    </row>
    <row r="50">
      <c r="A50" s="420" t="s">
        <v>345</v>
      </c>
    </row>
    <row r="51">
      <c r="A51" s="420" t="s">
        <v>346</v>
      </c>
    </row>
    <row r="52">
      <c r="A52" s="420" t="s">
        <v>328</v>
      </c>
    </row>
    <row r="53">
      <c r="A53" s="420" t="s">
        <v>329</v>
      </c>
    </row>
    <row r="54">
      <c r="A54" s="420" t="s">
        <v>13</v>
      </c>
    </row>
    <row r="55">
      <c r="A55" s="420" t="s">
        <v>330</v>
      </c>
    </row>
    <row r="56">
      <c r="A56" s="420" t="s">
        <v>332</v>
      </c>
    </row>
    <row r="57">
      <c r="A57" s="420" t="s">
        <v>333</v>
      </c>
    </row>
    <row r="58">
      <c r="A58" s="448"/>
    </row>
    <row r="59">
      <c r="A59" s="420" t="s">
        <v>347</v>
      </c>
    </row>
    <row r="60">
      <c r="A60" s="448"/>
    </row>
    <row r="61">
      <c r="A61" s="420" t="s">
        <v>324</v>
      </c>
    </row>
    <row r="62">
      <c r="A62" s="420" t="s">
        <v>348</v>
      </c>
    </row>
    <row r="63">
      <c r="A63" s="420" t="s">
        <v>349</v>
      </c>
    </row>
    <row r="64">
      <c r="A64" s="420" t="s">
        <v>328</v>
      </c>
    </row>
    <row r="65">
      <c r="A65" s="420" t="s">
        <v>329</v>
      </c>
    </row>
    <row r="66">
      <c r="A66" s="420" t="s">
        <v>13</v>
      </c>
    </row>
    <row r="67">
      <c r="A67" s="420" t="s">
        <v>330</v>
      </c>
    </row>
    <row r="68">
      <c r="A68" s="420" t="s">
        <v>332</v>
      </c>
    </row>
    <row r="69">
      <c r="A69" s="420" t="s">
        <v>333</v>
      </c>
    </row>
    <row r="70">
      <c r="A70" s="448"/>
    </row>
    <row r="71">
      <c r="A71" s="420" t="s">
        <v>350</v>
      </c>
    </row>
    <row r="72">
      <c r="A72" s="448"/>
    </row>
    <row r="73">
      <c r="A73" s="420" t="s">
        <v>324</v>
      </c>
    </row>
    <row r="74">
      <c r="A74" s="420" t="s">
        <v>351</v>
      </c>
    </row>
    <row r="75">
      <c r="A75" s="420" t="s">
        <v>352</v>
      </c>
    </row>
    <row r="76">
      <c r="A76" s="420" t="s">
        <v>328</v>
      </c>
    </row>
    <row r="77">
      <c r="A77" s="420" t="s">
        <v>329</v>
      </c>
    </row>
    <row r="78">
      <c r="A78" s="420" t="s">
        <v>13</v>
      </c>
    </row>
    <row r="79">
      <c r="A79" s="420" t="s">
        <v>330</v>
      </c>
    </row>
    <row r="80">
      <c r="A80" s="420" t="s">
        <v>332</v>
      </c>
    </row>
    <row r="81">
      <c r="A81" s="420" t="s">
        <v>333</v>
      </c>
    </row>
    <row r="82">
      <c r="A82" s="448"/>
    </row>
    <row r="83">
      <c r="A83" s="420" t="s">
        <v>353</v>
      </c>
    </row>
    <row r="84">
      <c r="A84" s="448"/>
    </row>
    <row r="85">
      <c r="A85" s="420" t="s">
        <v>324</v>
      </c>
    </row>
    <row r="86">
      <c r="A86" s="420" t="s">
        <v>354</v>
      </c>
    </row>
    <row r="87">
      <c r="A87" s="420" t="s">
        <v>355</v>
      </c>
    </row>
    <row r="88">
      <c r="A88" s="420" t="s">
        <v>328</v>
      </c>
    </row>
    <row r="89">
      <c r="A89" s="420" t="s">
        <v>329</v>
      </c>
    </row>
    <row r="90">
      <c r="A90" s="420" t="s">
        <v>13</v>
      </c>
    </row>
    <row r="91">
      <c r="A91" s="420" t="s">
        <v>330</v>
      </c>
    </row>
    <row r="92">
      <c r="A92" s="420" t="s">
        <v>332</v>
      </c>
    </row>
    <row r="93">
      <c r="A93" s="420" t="s">
        <v>333</v>
      </c>
    </row>
    <row r="94">
      <c r="A94" s="448"/>
    </row>
    <row r="95">
      <c r="A95" s="420" t="s">
        <v>356</v>
      </c>
    </row>
    <row r="96">
      <c r="A96" s="448"/>
    </row>
    <row r="97">
      <c r="A97" s="420" t="s">
        <v>324</v>
      </c>
    </row>
    <row r="98">
      <c r="A98" s="420" t="s">
        <v>357</v>
      </c>
    </row>
    <row r="99">
      <c r="A99" s="420" t="s">
        <v>358</v>
      </c>
    </row>
    <row r="100">
      <c r="A100" s="420" t="s">
        <v>328</v>
      </c>
    </row>
    <row r="101">
      <c r="A101" s="420" t="s">
        <v>329</v>
      </c>
    </row>
    <row r="102">
      <c r="A102" s="420" t="s">
        <v>13</v>
      </c>
    </row>
    <row r="103">
      <c r="A103" s="420" t="s">
        <v>330</v>
      </c>
    </row>
    <row r="104">
      <c r="A104" s="420" t="s">
        <v>332</v>
      </c>
    </row>
    <row r="105">
      <c r="A105" s="420" t="s">
        <v>333</v>
      </c>
    </row>
    <row r="106">
      <c r="A106" s="448"/>
    </row>
    <row r="107">
      <c r="A107" s="420" t="s">
        <v>359</v>
      </c>
    </row>
    <row r="108">
      <c r="A108" s="448"/>
    </row>
    <row r="109">
      <c r="A109" s="420" t="s">
        <v>324</v>
      </c>
    </row>
    <row r="110">
      <c r="A110" s="420" t="s">
        <v>360</v>
      </c>
    </row>
    <row r="111">
      <c r="A111" s="420" t="s">
        <v>361</v>
      </c>
    </row>
    <row r="112">
      <c r="A112" s="420" t="s">
        <v>328</v>
      </c>
    </row>
    <row r="113">
      <c r="A113" s="420" t="s">
        <v>329</v>
      </c>
    </row>
    <row r="114">
      <c r="A114" s="420" t="s">
        <v>13</v>
      </c>
    </row>
    <row r="115">
      <c r="A115" s="420" t="s">
        <v>330</v>
      </c>
    </row>
    <row r="116">
      <c r="A116" s="420" t="s">
        <v>332</v>
      </c>
    </row>
    <row r="117">
      <c r="A117" s="420" t="s">
        <v>333</v>
      </c>
    </row>
    <row r="118">
      <c r="A118" s="448"/>
    </row>
    <row r="119">
      <c r="A119" s="420" t="s">
        <v>362</v>
      </c>
    </row>
    <row r="120">
      <c r="A120" s="448"/>
    </row>
    <row r="121">
      <c r="A121" s="420" t="s">
        <v>324</v>
      </c>
    </row>
    <row r="122">
      <c r="A122" s="420" t="s">
        <v>365</v>
      </c>
    </row>
    <row r="123">
      <c r="A123" s="420" t="s">
        <v>366</v>
      </c>
    </row>
    <row r="124">
      <c r="A124" s="420" t="s">
        <v>328</v>
      </c>
    </row>
    <row r="125">
      <c r="A125" s="420" t="s">
        <v>329</v>
      </c>
    </row>
    <row r="126">
      <c r="A126" s="420" t="s">
        <v>13</v>
      </c>
    </row>
    <row r="127">
      <c r="A127" s="420" t="s">
        <v>330</v>
      </c>
    </row>
    <row r="128">
      <c r="A128" s="420" t="s">
        <v>332</v>
      </c>
    </row>
    <row r="129">
      <c r="A129" s="420" t="s">
        <v>333</v>
      </c>
    </row>
    <row r="130">
      <c r="A130" s="448"/>
    </row>
    <row r="131">
      <c r="A131" s="420" t="s">
        <v>368</v>
      </c>
    </row>
    <row r="132">
      <c r="A132" s="448"/>
    </row>
    <row r="133">
      <c r="A133" s="420" t="s">
        <v>324</v>
      </c>
    </row>
    <row r="134">
      <c r="A134" s="420" t="s">
        <v>369</v>
      </c>
    </row>
    <row r="135">
      <c r="A135" s="420" t="s">
        <v>370</v>
      </c>
    </row>
    <row r="136">
      <c r="A136" s="420" t="s">
        <v>328</v>
      </c>
    </row>
    <row r="137">
      <c r="A137" s="420" t="s">
        <v>329</v>
      </c>
    </row>
    <row r="138">
      <c r="A138" s="420" t="s">
        <v>371</v>
      </c>
    </row>
    <row r="139">
      <c r="A139" s="420" t="s">
        <v>330</v>
      </c>
    </row>
    <row r="140">
      <c r="A140" s="420" t="s">
        <v>332</v>
      </c>
    </row>
    <row r="141">
      <c r="A141" s="420" t="s">
        <v>333</v>
      </c>
    </row>
    <row r="142">
      <c r="A142" s="448"/>
    </row>
    <row r="143">
      <c r="A143" s="420" t="s">
        <v>372</v>
      </c>
    </row>
    <row r="144">
      <c r="A144" s="448"/>
    </row>
    <row r="145">
      <c r="A145" s="420" t="s">
        <v>324</v>
      </c>
    </row>
    <row r="146">
      <c r="A146" s="420" t="s">
        <v>373</v>
      </c>
    </row>
    <row r="147">
      <c r="A147" s="420" t="s">
        <v>374</v>
      </c>
    </row>
    <row r="148">
      <c r="A148" s="420" t="s">
        <v>328</v>
      </c>
    </row>
    <row r="149">
      <c r="A149" s="420" t="s">
        <v>329</v>
      </c>
    </row>
    <row r="150">
      <c r="A150" s="420" t="s">
        <v>375</v>
      </c>
    </row>
    <row r="151">
      <c r="A151" s="420" t="s">
        <v>330</v>
      </c>
    </row>
    <row r="152">
      <c r="A152" s="420" t="s">
        <v>332</v>
      </c>
    </row>
    <row r="153">
      <c r="A153" s="420" t="s">
        <v>333</v>
      </c>
    </row>
    <row r="154">
      <c r="A154" s="448"/>
    </row>
    <row r="155">
      <c r="A155" s="420" t="s">
        <v>376</v>
      </c>
    </row>
    <row r="156">
      <c r="A156" s="448"/>
    </row>
    <row r="157">
      <c r="A157" s="420" t="s">
        <v>324</v>
      </c>
    </row>
    <row r="158">
      <c r="A158" s="420" t="s">
        <v>377</v>
      </c>
    </row>
    <row r="159">
      <c r="A159" s="420" t="s">
        <v>378</v>
      </c>
    </row>
    <row r="160">
      <c r="A160" s="420" t="s">
        <v>328</v>
      </c>
    </row>
    <row r="161">
      <c r="A161" s="420" t="s">
        <v>329</v>
      </c>
    </row>
    <row r="162">
      <c r="A162" s="420" t="s">
        <v>379</v>
      </c>
    </row>
    <row r="163">
      <c r="A163" s="420" t="s">
        <v>330</v>
      </c>
    </row>
    <row r="164">
      <c r="A164" s="420" t="s">
        <v>332</v>
      </c>
    </row>
    <row r="165">
      <c r="A165" s="420" t="s">
        <v>333</v>
      </c>
    </row>
    <row r="167">
      <c r="A167" s="420" t="s">
        <v>380</v>
      </c>
    </row>
    <row r="168">
      <c r="A168" s="448"/>
    </row>
    <row r="169">
      <c r="A169" s="420" t="s">
        <v>381</v>
      </c>
    </row>
    <row r="170">
      <c r="A170" s="420" t="s">
        <v>382</v>
      </c>
    </row>
    <row r="171">
      <c r="A171" s="420" t="s">
        <v>383</v>
      </c>
    </row>
    <row r="172">
      <c r="A172" s="420" t="s">
        <v>384</v>
      </c>
    </row>
    <row r="173">
      <c r="A173" s="420" t="s">
        <v>385</v>
      </c>
    </row>
    <row r="174">
      <c r="A174" s="420" t="s">
        <v>386</v>
      </c>
    </row>
    <row r="175">
      <c r="A175" s="420" t="s">
        <v>387</v>
      </c>
    </row>
    <row r="176">
      <c r="A176" s="420" t="s">
        <v>388</v>
      </c>
    </row>
    <row r="177">
      <c r="A177" s="448"/>
    </row>
    <row r="178">
      <c r="A178" s="420" t="s">
        <v>389</v>
      </c>
    </row>
    <row r="179">
      <c r="A179" s="448"/>
    </row>
    <row r="180">
      <c r="A180" s="420" t="s">
        <v>381</v>
      </c>
    </row>
    <row r="181">
      <c r="A181" s="420" t="s">
        <v>390</v>
      </c>
    </row>
    <row r="182">
      <c r="A182" s="420" t="s">
        <v>391</v>
      </c>
    </row>
    <row r="183">
      <c r="A183" s="420" t="s">
        <v>384</v>
      </c>
    </row>
    <row r="184">
      <c r="A184" s="420" t="s">
        <v>385</v>
      </c>
    </row>
    <row r="185">
      <c r="A185" s="420" t="s">
        <v>386</v>
      </c>
    </row>
    <row r="186">
      <c r="A186" s="420" t="s">
        <v>387</v>
      </c>
    </row>
    <row r="187">
      <c r="A187" s="420" t="s">
        <v>388</v>
      </c>
    </row>
    <row r="188">
      <c r="A188" s="448"/>
    </row>
    <row r="189">
      <c r="A189" s="420" t="s">
        <v>392</v>
      </c>
    </row>
    <row r="190">
      <c r="A190" s="448"/>
    </row>
    <row r="191">
      <c r="A191" s="420" t="s">
        <v>381</v>
      </c>
    </row>
    <row r="192">
      <c r="A192" s="420" t="s">
        <v>393</v>
      </c>
    </row>
    <row r="193">
      <c r="A193" s="420" t="s">
        <v>396</v>
      </c>
    </row>
    <row r="194">
      <c r="A194" s="420" t="s">
        <v>384</v>
      </c>
    </row>
    <row r="195">
      <c r="A195" s="420" t="s">
        <v>385</v>
      </c>
    </row>
    <row r="196">
      <c r="A196" s="420" t="s">
        <v>397</v>
      </c>
    </row>
    <row r="197">
      <c r="A197" s="420" t="s">
        <v>387</v>
      </c>
    </row>
    <row r="198">
      <c r="A198" s="420" t="s">
        <v>388</v>
      </c>
    </row>
    <row r="199">
      <c r="A199" s="448"/>
    </row>
    <row r="200">
      <c r="A200" s="420" t="s">
        <v>398</v>
      </c>
    </row>
    <row r="201">
      <c r="A201" s="448"/>
    </row>
    <row r="202">
      <c r="A202" s="420" t="s">
        <v>381</v>
      </c>
    </row>
    <row r="203">
      <c r="A203" s="420" t="s">
        <v>399</v>
      </c>
    </row>
    <row r="204">
      <c r="A204" s="420" t="s">
        <v>400</v>
      </c>
    </row>
    <row r="205">
      <c r="A205" s="420" t="s">
        <v>384</v>
      </c>
    </row>
    <row r="206">
      <c r="A206" s="420" t="s">
        <v>385</v>
      </c>
    </row>
    <row r="207">
      <c r="A207" s="420" t="s">
        <v>401</v>
      </c>
    </row>
    <row r="208">
      <c r="A208" s="420" t="s">
        <v>387</v>
      </c>
    </row>
    <row r="209">
      <c r="A209" s="420" t="s">
        <v>388</v>
      </c>
    </row>
    <row r="210">
      <c r="A210" s="448"/>
    </row>
    <row r="211">
      <c r="A211" s="420" t="s">
        <v>402</v>
      </c>
    </row>
    <row r="212">
      <c r="A212" s="448"/>
    </row>
    <row r="213">
      <c r="A213" s="420" t="s">
        <v>381</v>
      </c>
    </row>
    <row r="214">
      <c r="A214" s="420" t="s">
        <v>403</v>
      </c>
    </row>
    <row r="215">
      <c r="A215" s="420" t="s">
        <v>404</v>
      </c>
    </row>
    <row r="216">
      <c r="A216" s="420" t="s">
        <v>384</v>
      </c>
    </row>
    <row r="217">
      <c r="A217" s="420" t="s">
        <v>385</v>
      </c>
    </row>
    <row r="218">
      <c r="A218" s="420" t="s">
        <v>401</v>
      </c>
    </row>
    <row r="219">
      <c r="A219" s="420" t="s">
        <v>387</v>
      </c>
    </row>
    <row r="220">
      <c r="A220" s="420" t="s">
        <v>388</v>
      </c>
    </row>
    <row r="221">
      <c r="A221" s="448"/>
    </row>
    <row r="222">
      <c r="A222" s="448"/>
    </row>
    <row r="223">
      <c r="A223" s="420" t="s">
        <v>381</v>
      </c>
    </row>
    <row r="224">
      <c r="A224" s="420" t="s">
        <v>405</v>
      </c>
    </row>
    <row r="225">
      <c r="A225" s="420" t="s">
        <v>406</v>
      </c>
    </row>
    <row r="226">
      <c r="A226" s="420" t="s">
        <v>407</v>
      </c>
    </row>
    <row r="227">
      <c r="A227" s="420" t="s">
        <v>385</v>
      </c>
    </row>
    <row r="228">
      <c r="A228" s="420" t="s">
        <v>401</v>
      </c>
    </row>
    <row r="229">
      <c r="A229" s="420" t="s">
        <v>387</v>
      </c>
    </row>
    <row r="230">
      <c r="A230" s="420" t="s">
        <v>388</v>
      </c>
    </row>
    <row r="231">
      <c r="A231" s="448"/>
    </row>
    <row r="232">
      <c r="A232" s="420" t="s">
        <v>408</v>
      </c>
    </row>
    <row r="233">
      <c r="A233" s="448"/>
    </row>
    <row r="234">
      <c r="A234" s="420" t="s">
        <v>381</v>
      </c>
    </row>
    <row r="235">
      <c r="A235" s="420" t="s">
        <v>409</v>
      </c>
    </row>
    <row r="236">
      <c r="A236" s="420" t="s">
        <v>410</v>
      </c>
    </row>
    <row r="237">
      <c r="A237" s="420" t="s">
        <v>407</v>
      </c>
    </row>
    <row r="238">
      <c r="A238" s="420" t="s">
        <v>385</v>
      </c>
    </row>
    <row r="239">
      <c r="A239" s="420" t="s">
        <v>401</v>
      </c>
    </row>
    <row r="240">
      <c r="A240" s="420" t="s">
        <v>387</v>
      </c>
    </row>
    <row r="241">
      <c r="A241" s="420" t="s">
        <v>388</v>
      </c>
    </row>
    <row r="242">
      <c r="A242" s="448"/>
    </row>
    <row r="243">
      <c r="A243" s="420" t="s">
        <v>411</v>
      </c>
    </row>
    <row r="244">
      <c r="A244" s="448"/>
    </row>
    <row r="245">
      <c r="A245" s="420" t="s">
        <v>381</v>
      </c>
    </row>
    <row r="246">
      <c r="A246" s="420" t="s">
        <v>412</v>
      </c>
    </row>
    <row r="247">
      <c r="A247" s="420" t="s">
        <v>413</v>
      </c>
    </row>
    <row r="248">
      <c r="A248" s="420" t="s">
        <v>414</v>
      </c>
    </row>
    <row r="249">
      <c r="A249" s="420" t="s">
        <v>385</v>
      </c>
    </row>
    <row r="250">
      <c r="A250" s="420" t="s">
        <v>401</v>
      </c>
    </row>
    <row r="251">
      <c r="A251" s="420" t="s">
        <v>387</v>
      </c>
    </row>
    <row r="252">
      <c r="A252" s="420" t="s">
        <v>388</v>
      </c>
    </row>
  </sheetData>
  <mergeCells count="28">
    <mergeCell ref="F1:G1"/>
    <mergeCell ref="F2:G2"/>
    <mergeCell ref="F3:G3"/>
    <mergeCell ref="F4:G4"/>
    <mergeCell ref="F5:G5"/>
    <mergeCell ref="F6:G6"/>
    <mergeCell ref="F7:G7"/>
    <mergeCell ref="F8:G8"/>
    <mergeCell ref="F9:G9"/>
    <mergeCell ref="F10:G10"/>
    <mergeCell ref="F11:G11"/>
    <mergeCell ref="F12:G12"/>
    <mergeCell ref="F13:G13"/>
    <mergeCell ref="F14:G14"/>
    <mergeCell ref="F27:G27"/>
    <mergeCell ref="F28:G28"/>
    <mergeCell ref="F29:G29"/>
    <mergeCell ref="F30:G30"/>
    <mergeCell ref="F31:G31"/>
    <mergeCell ref="F32:G32"/>
    <mergeCell ref="F36:G36"/>
    <mergeCell ref="F15:G15"/>
    <mergeCell ref="F16:G16"/>
    <mergeCell ref="F17:G17"/>
    <mergeCell ref="F20:G20"/>
    <mergeCell ref="F23:G23"/>
    <mergeCell ref="F24:G24"/>
    <mergeCell ref="F25:G25"/>
  </mergeCells>
  <printOptions gridLines="1" horizontalCentered="1"/>
  <pageMargins bottom="0.75" footer="0.0" header="0.0" left="0.25" right="0.25" top="0.75"/>
  <pageSetup fitToHeight="0" paperSize="9" cellComments="atEnd" orientation="portrait" pageOrder="overThenDown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2.88"/>
    <col customWidth="1" min="2" max="2" width="14.25"/>
    <col customWidth="1" min="3" max="3" width="10.38"/>
    <col customWidth="1" min="4" max="4" width="14.38"/>
    <col customWidth="1" min="5" max="5" width="14.88"/>
    <col customWidth="1" min="6" max="6" width="60.25"/>
  </cols>
  <sheetData>
    <row r="1" ht="21.75" customHeight="1">
      <c r="A1" s="203" t="s">
        <v>3</v>
      </c>
      <c r="F1" s="15"/>
    </row>
    <row r="2">
      <c r="A2" s="225" t="s">
        <v>198</v>
      </c>
      <c r="B2" s="211"/>
      <c r="C2" s="211"/>
      <c r="D2" s="211"/>
      <c r="E2" s="211"/>
      <c r="F2" s="91"/>
      <c r="G2" s="275" t="s">
        <v>173</v>
      </c>
    </row>
    <row r="3" ht="24.0" customHeight="1">
      <c r="A3" s="227">
        <v>29.6</v>
      </c>
      <c r="B3" s="228">
        <v>19.0</v>
      </c>
      <c r="C3" s="229" t="s">
        <v>21</v>
      </c>
      <c r="D3" s="230"/>
      <c r="E3" s="230"/>
      <c r="F3" s="5"/>
      <c r="G3" s="292">
        <f>C24+C42</f>
        <v>14533.6</v>
      </c>
    </row>
    <row r="4" ht="31.5" customHeight="1">
      <c r="A4" s="232" t="s">
        <v>415</v>
      </c>
      <c r="B4" s="211"/>
      <c r="C4" s="211"/>
      <c r="D4" s="91"/>
      <c r="E4" s="277" t="s">
        <v>416</v>
      </c>
      <c r="F4" s="293" t="s">
        <v>24</v>
      </c>
    </row>
    <row r="5" ht="24.75" customHeight="1">
      <c r="A5" s="49" t="s">
        <v>176</v>
      </c>
      <c r="B5" s="50" t="s">
        <v>26</v>
      </c>
      <c r="C5" s="50" t="s">
        <v>119</v>
      </c>
      <c r="D5" s="235" t="s">
        <v>220</v>
      </c>
      <c r="E5" s="278" t="s">
        <v>253</v>
      </c>
      <c r="F5" s="52" t="s">
        <v>28</v>
      </c>
    </row>
    <row r="6">
      <c r="A6" s="379" t="s">
        <v>308</v>
      </c>
      <c r="B6" s="380" t="s">
        <v>309</v>
      </c>
      <c r="C6" s="351">
        <f>29.6*$B$3</f>
        <v>562.4</v>
      </c>
      <c r="D6" s="353" t="s">
        <v>244</v>
      </c>
      <c r="E6" s="354">
        <v>5.393606000158E12</v>
      </c>
      <c r="F6" s="394"/>
      <c r="G6" s="451"/>
    </row>
    <row r="7">
      <c r="A7" s="356" t="s">
        <v>33</v>
      </c>
      <c r="B7" s="357" t="s">
        <v>34</v>
      </c>
      <c r="C7" s="452">
        <f>29.6*33</f>
        <v>976.8</v>
      </c>
      <c r="D7" s="359" t="s">
        <v>244</v>
      </c>
      <c r="E7" s="360">
        <v>5.393606000158E12</v>
      </c>
      <c r="F7" s="361" t="s">
        <v>419</v>
      </c>
      <c r="G7" s="454"/>
    </row>
    <row r="8">
      <c r="A8" s="401" t="s">
        <v>35</v>
      </c>
      <c r="B8" s="403" t="s">
        <v>36</v>
      </c>
      <c r="C8" s="351">
        <f>29.6*21</f>
        <v>621.6</v>
      </c>
      <c r="D8" s="353" t="s">
        <v>244</v>
      </c>
      <c r="E8" s="354">
        <v>5.393606000158E12</v>
      </c>
      <c r="F8" s="355" t="s">
        <v>424</v>
      </c>
      <c r="G8" s="455"/>
      <c r="H8" s="170"/>
      <c r="I8" s="170"/>
      <c r="J8" s="170"/>
      <c r="K8" s="170"/>
      <c r="L8" s="170"/>
      <c r="M8" s="170"/>
      <c r="N8" s="170"/>
      <c r="O8" s="170"/>
      <c r="P8" s="170"/>
      <c r="Q8" s="170"/>
      <c r="R8" s="170"/>
      <c r="S8" s="170"/>
      <c r="T8" s="170"/>
      <c r="U8" s="170"/>
      <c r="V8" s="170"/>
      <c r="W8" s="170"/>
      <c r="X8" s="170"/>
      <c r="Y8" s="170"/>
      <c r="Z8" s="170"/>
    </row>
    <row r="9">
      <c r="A9" s="364" t="s">
        <v>298</v>
      </c>
      <c r="B9" s="377" t="s">
        <v>320</v>
      </c>
      <c r="C9" s="358">
        <f t="shared" ref="C9:C23" si="1">29.6*$B$3</f>
        <v>562.4</v>
      </c>
      <c r="D9" s="359" t="s">
        <v>244</v>
      </c>
      <c r="E9" s="360">
        <v>5.393606000158E12</v>
      </c>
      <c r="F9" s="361"/>
      <c r="G9" s="462" t="s">
        <v>421</v>
      </c>
      <c r="H9" s="170"/>
      <c r="I9" s="170"/>
      <c r="J9" s="170"/>
      <c r="K9" s="170"/>
      <c r="L9" s="170"/>
      <c r="M9" s="170"/>
      <c r="N9" s="170"/>
      <c r="O9" s="170"/>
      <c r="P9" s="170"/>
      <c r="Q9" s="170"/>
      <c r="R9" s="170"/>
      <c r="S9" s="170"/>
      <c r="T9" s="170"/>
      <c r="U9" s="170"/>
      <c r="V9" s="170"/>
      <c r="W9" s="170"/>
      <c r="X9" s="170"/>
      <c r="Y9" s="170"/>
      <c r="Z9" s="170"/>
    </row>
    <row r="10">
      <c r="A10" s="362" t="s">
        <v>234</v>
      </c>
      <c r="B10" s="367" t="s">
        <v>235</v>
      </c>
      <c r="C10" s="351">
        <f t="shared" si="1"/>
        <v>562.4</v>
      </c>
      <c r="D10" s="367" t="s">
        <v>244</v>
      </c>
      <c r="E10" s="368">
        <v>5.393606000158E12</v>
      </c>
      <c r="F10" s="355"/>
      <c r="G10" s="463"/>
    </row>
    <row r="11">
      <c r="A11" s="382" t="s">
        <v>203</v>
      </c>
      <c r="B11" s="383" t="s">
        <v>204</v>
      </c>
      <c r="C11" s="358">
        <f t="shared" si="1"/>
        <v>562.4</v>
      </c>
      <c r="D11" s="365" t="s">
        <v>244</v>
      </c>
      <c r="E11" s="366">
        <v>5.393606000158E12</v>
      </c>
      <c r="F11" s="361"/>
      <c r="G11" s="454"/>
    </row>
    <row r="12">
      <c r="A12" s="362" t="s">
        <v>313</v>
      </c>
      <c r="B12" s="367" t="s">
        <v>314</v>
      </c>
      <c r="C12" s="351">
        <f t="shared" si="1"/>
        <v>562.4</v>
      </c>
      <c r="D12" s="353" t="s">
        <v>244</v>
      </c>
      <c r="E12" s="354">
        <v>5.393606000158E12</v>
      </c>
      <c r="F12" s="394"/>
      <c r="G12" s="451"/>
    </row>
    <row r="13">
      <c r="A13" s="411" t="s">
        <v>147</v>
      </c>
      <c r="B13" s="413" t="s">
        <v>148</v>
      </c>
      <c r="C13" s="358">
        <f t="shared" si="1"/>
        <v>562.4</v>
      </c>
      <c r="D13" s="359" t="s">
        <v>244</v>
      </c>
      <c r="E13" s="360">
        <v>5.393606000158E12</v>
      </c>
      <c r="F13" s="361"/>
      <c r="G13" s="454"/>
    </row>
    <row r="14">
      <c r="A14" s="401" t="s">
        <v>61</v>
      </c>
      <c r="B14" s="403" t="s">
        <v>62</v>
      </c>
      <c r="C14" s="351">
        <f t="shared" si="1"/>
        <v>562.4</v>
      </c>
      <c r="D14" s="353" t="s">
        <v>244</v>
      </c>
      <c r="E14" s="354">
        <v>5.393606000158E12</v>
      </c>
      <c r="F14" s="414"/>
      <c r="G14" s="455"/>
      <c r="H14" s="170"/>
      <c r="I14" s="170"/>
      <c r="J14" s="170"/>
      <c r="K14" s="170"/>
      <c r="L14" s="170"/>
      <c r="M14" s="170"/>
      <c r="N14" s="170"/>
      <c r="O14" s="170"/>
      <c r="P14" s="170"/>
      <c r="Q14" s="170"/>
      <c r="R14" s="170"/>
      <c r="S14" s="170"/>
      <c r="T14" s="170"/>
      <c r="U14" s="170"/>
      <c r="V14" s="170"/>
      <c r="W14" s="170"/>
      <c r="X14" s="170"/>
      <c r="Y14" s="170"/>
      <c r="Z14" s="170"/>
    </row>
    <row r="15">
      <c r="A15" s="369" t="s">
        <v>276</v>
      </c>
      <c r="B15" s="370" t="s">
        <v>283</v>
      </c>
      <c r="C15" s="358">
        <f t="shared" si="1"/>
        <v>562.4</v>
      </c>
      <c r="D15" s="359" t="s">
        <v>244</v>
      </c>
      <c r="E15" s="360">
        <v>5.393606000158E12</v>
      </c>
      <c r="F15" s="361"/>
      <c r="G15" s="454"/>
    </row>
    <row r="16">
      <c r="A16" s="379" t="s">
        <v>299</v>
      </c>
      <c r="B16" s="415" t="s">
        <v>321</v>
      </c>
      <c r="C16" s="351">
        <f t="shared" si="1"/>
        <v>562.4</v>
      </c>
      <c r="D16" s="353" t="s">
        <v>244</v>
      </c>
      <c r="E16" s="354">
        <v>5.393606000158E12</v>
      </c>
      <c r="F16" s="355"/>
      <c r="G16" s="463"/>
    </row>
    <row r="17">
      <c r="A17" s="364" t="s">
        <v>164</v>
      </c>
      <c r="B17" s="365" t="s">
        <v>165</v>
      </c>
      <c r="C17" s="358">
        <f t="shared" si="1"/>
        <v>562.4</v>
      </c>
      <c r="D17" s="359" t="s">
        <v>244</v>
      </c>
      <c r="E17" s="360">
        <v>5.393606000158E12</v>
      </c>
      <c r="F17" s="416"/>
      <c r="G17" s="469"/>
    </row>
    <row r="18">
      <c r="A18" s="362" t="s">
        <v>315</v>
      </c>
      <c r="B18" s="385" t="s">
        <v>325</v>
      </c>
      <c r="C18" s="351">
        <f t="shared" si="1"/>
        <v>562.4</v>
      </c>
      <c r="D18" s="353" t="s">
        <v>244</v>
      </c>
      <c r="E18" s="354">
        <v>5.393606000158E12</v>
      </c>
      <c r="F18" s="394"/>
      <c r="G18" s="451"/>
    </row>
    <row r="19">
      <c r="A19" s="474" t="s">
        <v>430</v>
      </c>
      <c r="B19" s="417" t="s">
        <v>431</v>
      </c>
      <c r="C19" s="358">
        <f t="shared" si="1"/>
        <v>562.4</v>
      </c>
      <c r="D19" s="359" t="s">
        <v>244</v>
      </c>
      <c r="E19" s="360">
        <v>5.393606000158E12</v>
      </c>
      <c r="F19" s="416"/>
      <c r="G19" s="469"/>
    </row>
    <row r="20">
      <c r="A20" s="362" t="s">
        <v>171</v>
      </c>
      <c r="B20" s="385" t="s">
        <v>224</v>
      </c>
      <c r="C20" s="351">
        <f t="shared" si="1"/>
        <v>562.4</v>
      </c>
      <c r="D20" s="353" t="s">
        <v>244</v>
      </c>
      <c r="E20" s="354">
        <v>5.393606000158E12</v>
      </c>
      <c r="F20" s="381"/>
      <c r="G20" s="451"/>
    </row>
    <row r="21">
      <c r="A21" s="364" t="s">
        <v>167</v>
      </c>
      <c r="B21" s="417" t="s">
        <v>201</v>
      </c>
      <c r="C21" s="358">
        <f t="shared" si="1"/>
        <v>562.4</v>
      </c>
      <c r="D21" s="359" t="s">
        <v>244</v>
      </c>
      <c r="E21" s="360">
        <v>5.393606000158E12</v>
      </c>
      <c r="F21" s="361"/>
      <c r="G21" s="454"/>
    </row>
    <row r="22">
      <c r="A22" s="362" t="s">
        <v>305</v>
      </c>
      <c r="B22" s="363" t="s">
        <v>336</v>
      </c>
      <c r="C22" s="351">
        <f t="shared" si="1"/>
        <v>562.4</v>
      </c>
      <c r="D22" s="353" t="s">
        <v>244</v>
      </c>
      <c r="E22" s="354">
        <v>5.393606000158E12</v>
      </c>
      <c r="F22" s="355"/>
      <c r="G22" s="463"/>
    </row>
    <row r="23">
      <c r="A23" s="364" t="s">
        <v>77</v>
      </c>
      <c r="B23" s="365" t="s">
        <v>78</v>
      </c>
      <c r="C23" s="358">
        <f t="shared" si="1"/>
        <v>562.4</v>
      </c>
      <c r="D23" s="359" t="s">
        <v>244</v>
      </c>
      <c r="E23" s="360">
        <v>5.393606000158E12</v>
      </c>
      <c r="F23" s="416"/>
      <c r="G23" s="469"/>
    </row>
    <row r="24">
      <c r="A24" s="324" t="s">
        <v>288</v>
      </c>
      <c r="B24" s="325"/>
      <c r="C24" s="326">
        <f>SUM(C6:C23)</f>
        <v>10596.8</v>
      </c>
      <c r="D24" s="321"/>
      <c r="E24" s="322"/>
      <c r="F24" s="327"/>
    </row>
    <row r="25">
      <c r="A25" s="328"/>
      <c r="B25" s="329"/>
      <c r="C25" s="330"/>
      <c r="D25" s="331"/>
      <c r="E25" s="331"/>
      <c r="F25" s="332"/>
      <c r="G25" s="287"/>
    </row>
    <row r="26">
      <c r="A26" s="333"/>
      <c r="B26" s="333"/>
      <c r="C26" s="334"/>
      <c r="D26" s="262"/>
      <c r="E26" s="262"/>
      <c r="F26" s="262"/>
      <c r="G26" s="170"/>
      <c r="H26" s="170"/>
      <c r="I26" s="170"/>
      <c r="J26" s="170"/>
      <c r="K26" s="170"/>
      <c r="L26" s="170"/>
      <c r="M26" s="170"/>
      <c r="N26" s="170"/>
      <c r="O26" s="170"/>
      <c r="P26" s="170"/>
      <c r="Q26" s="170"/>
      <c r="R26" s="170"/>
      <c r="S26" s="170"/>
      <c r="T26" s="170"/>
      <c r="U26" s="170"/>
      <c r="V26" s="170"/>
      <c r="W26" s="170"/>
      <c r="X26" s="170"/>
      <c r="Y26" s="170"/>
      <c r="Z26" s="170"/>
    </row>
    <row r="27">
      <c r="A27" s="333"/>
      <c r="C27" s="334"/>
      <c r="D27" s="262"/>
      <c r="E27" s="262"/>
      <c r="F27" s="262"/>
      <c r="G27" s="170"/>
      <c r="H27" s="170"/>
      <c r="I27" s="170"/>
      <c r="J27" s="170"/>
      <c r="K27" s="170"/>
      <c r="L27" s="170"/>
      <c r="M27" s="170"/>
      <c r="N27" s="170"/>
      <c r="O27" s="170"/>
      <c r="P27" s="170"/>
      <c r="Q27" s="170"/>
      <c r="R27" s="170"/>
      <c r="S27" s="170"/>
      <c r="T27" s="170"/>
      <c r="U27" s="170"/>
      <c r="V27" s="170"/>
      <c r="W27" s="170"/>
      <c r="X27" s="170"/>
      <c r="Y27" s="170"/>
      <c r="Z27" s="170"/>
    </row>
    <row r="28">
      <c r="A28" s="203" t="s">
        <v>3</v>
      </c>
      <c r="F28" s="15"/>
      <c r="G28" s="170"/>
      <c r="H28" s="170"/>
      <c r="I28" s="170"/>
      <c r="J28" s="170"/>
      <c r="K28" s="170"/>
      <c r="L28" s="170"/>
      <c r="M28" s="170"/>
      <c r="N28" s="170"/>
      <c r="O28" s="170"/>
      <c r="P28" s="170"/>
      <c r="Q28" s="170"/>
      <c r="R28" s="170"/>
      <c r="S28" s="170"/>
      <c r="T28" s="170"/>
      <c r="U28" s="170"/>
      <c r="V28" s="170"/>
      <c r="W28" s="170"/>
      <c r="X28" s="170"/>
      <c r="Y28" s="170"/>
      <c r="Z28" s="170"/>
    </row>
    <row r="29">
      <c r="A29" s="225" t="s">
        <v>188</v>
      </c>
      <c r="B29" s="211"/>
      <c r="C29" s="211"/>
      <c r="D29" s="211"/>
      <c r="E29" s="211"/>
      <c r="F29" s="91"/>
      <c r="G29" s="170"/>
      <c r="H29" s="170"/>
      <c r="I29" s="170"/>
      <c r="J29" s="170"/>
      <c r="K29" s="170"/>
      <c r="L29" s="170"/>
      <c r="M29" s="170"/>
      <c r="N29" s="170"/>
      <c r="O29" s="170"/>
      <c r="P29" s="170"/>
      <c r="Q29" s="170"/>
      <c r="R29" s="170"/>
      <c r="S29" s="170"/>
      <c r="T29" s="170"/>
      <c r="U29" s="170"/>
      <c r="V29" s="170"/>
      <c r="W29" s="170"/>
      <c r="X29" s="170"/>
      <c r="Y29" s="170"/>
      <c r="Z29" s="170"/>
    </row>
    <row r="30" ht="26.25" customHeight="1">
      <c r="A30" s="227">
        <v>29.6</v>
      </c>
      <c r="B30" s="228">
        <f>B3</f>
        <v>19</v>
      </c>
      <c r="C30" s="229" t="s">
        <v>21</v>
      </c>
      <c r="D30" s="230" t="s">
        <v>117</v>
      </c>
      <c r="E30" s="230"/>
      <c r="F30" s="5"/>
      <c r="G30" s="170"/>
      <c r="H30" s="170"/>
      <c r="I30" s="170"/>
      <c r="J30" s="170"/>
      <c r="K30" s="170"/>
      <c r="L30" s="170"/>
      <c r="M30" s="170"/>
      <c r="N30" s="170"/>
      <c r="O30" s="170"/>
      <c r="P30" s="170"/>
      <c r="Q30" s="170"/>
      <c r="R30" s="170"/>
      <c r="S30" s="170"/>
      <c r="T30" s="170"/>
      <c r="U30" s="170"/>
      <c r="V30" s="170"/>
      <c r="W30" s="170"/>
      <c r="X30" s="170"/>
      <c r="Y30" s="170"/>
      <c r="Z30" s="170"/>
    </row>
    <row r="31" ht="29.25" customHeight="1">
      <c r="A31" s="232" t="s">
        <v>316</v>
      </c>
      <c r="B31" s="211"/>
      <c r="C31" s="211"/>
      <c r="D31" s="91"/>
      <c r="E31" s="277"/>
      <c r="F31" s="335" t="s">
        <v>24</v>
      </c>
      <c r="G31" s="170"/>
      <c r="H31" s="170"/>
      <c r="I31" s="170"/>
      <c r="J31" s="170"/>
      <c r="K31" s="170"/>
      <c r="L31" s="170"/>
      <c r="M31" s="170"/>
      <c r="N31" s="170"/>
      <c r="O31" s="170"/>
      <c r="P31" s="170"/>
      <c r="Q31" s="170"/>
      <c r="R31" s="170"/>
      <c r="S31" s="170"/>
      <c r="T31" s="170"/>
      <c r="U31" s="170"/>
      <c r="V31" s="170"/>
      <c r="W31" s="170"/>
      <c r="X31" s="170"/>
      <c r="Y31" s="170"/>
      <c r="Z31" s="170"/>
    </row>
    <row r="32" ht="31.5" customHeight="1">
      <c r="A32" s="264" t="s">
        <v>176</v>
      </c>
      <c r="B32" s="265" t="s">
        <v>26</v>
      </c>
      <c r="C32" s="265" t="s">
        <v>119</v>
      </c>
      <c r="D32" s="235" t="s">
        <v>220</v>
      </c>
      <c r="E32" s="278" t="s">
        <v>253</v>
      </c>
      <c r="F32" s="336" t="s">
        <v>28</v>
      </c>
      <c r="G32" s="170"/>
      <c r="H32" s="170"/>
      <c r="I32" s="170"/>
      <c r="J32" s="170"/>
      <c r="K32" s="170"/>
      <c r="L32" s="170"/>
      <c r="M32" s="170"/>
      <c r="N32" s="170"/>
      <c r="O32" s="170"/>
      <c r="P32" s="170"/>
      <c r="Q32" s="170"/>
      <c r="R32" s="170"/>
      <c r="S32" s="170"/>
      <c r="T32" s="170"/>
      <c r="U32" s="170"/>
      <c r="V32" s="170"/>
      <c r="W32" s="170"/>
      <c r="X32" s="170"/>
      <c r="Y32" s="170"/>
      <c r="Z32" s="170"/>
    </row>
    <row r="33">
      <c r="A33" s="386" t="s">
        <v>248</v>
      </c>
      <c r="B33" s="387" t="s">
        <v>239</v>
      </c>
      <c r="C33" s="388">
        <f t="shared" ref="C33:C39" si="2">29.6*$B$3</f>
        <v>562.4</v>
      </c>
      <c r="D33" s="389" t="s">
        <v>244</v>
      </c>
      <c r="E33" s="390">
        <v>5.2803025000127E13</v>
      </c>
      <c r="F33" s="391"/>
      <c r="G33" s="170"/>
      <c r="H33" s="170"/>
      <c r="I33" s="170"/>
      <c r="J33" s="170"/>
      <c r="K33" s="170"/>
      <c r="L33" s="170"/>
      <c r="M33" s="170"/>
      <c r="N33" s="170"/>
      <c r="O33" s="170"/>
      <c r="P33" s="170"/>
      <c r="Q33" s="170"/>
      <c r="R33" s="170"/>
      <c r="S33" s="170"/>
      <c r="T33" s="170"/>
      <c r="U33" s="170"/>
      <c r="V33" s="170"/>
      <c r="W33" s="170"/>
      <c r="X33" s="170"/>
      <c r="Y33" s="170"/>
      <c r="Z33" s="170"/>
    </row>
    <row r="34">
      <c r="A34" s="392" t="s">
        <v>363</v>
      </c>
      <c r="B34" s="387" t="s">
        <v>364</v>
      </c>
      <c r="C34" s="388">
        <f t="shared" si="2"/>
        <v>562.4</v>
      </c>
      <c r="D34" s="389" t="s">
        <v>244</v>
      </c>
      <c r="E34" s="390">
        <v>5.2803025000127E13</v>
      </c>
      <c r="F34" s="450"/>
    </row>
    <row r="35">
      <c r="A35" s="392" t="s">
        <v>249</v>
      </c>
      <c r="B35" s="393" t="s">
        <v>250</v>
      </c>
      <c r="C35" s="395">
        <f t="shared" si="2"/>
        <v>562.4</v>
      </c>
      <c r="D35" s="396" t="s">
        <v>244</v>
      </c>
      <c r="E35" s="397">
        <v>5.2803025000127E13</v>
      </c>
      <c r="F35" s="398"/>
    </row>
    <row r="36">
      <c r="A36" s="400" t="s">
        <v>80</v>
      </c>
      <c r="B36" s="402" t="s">
        <v>81</v>
      </c>
      <c r="C36" s="395">
        <f t="shared" si="2"/>
        <v>562.4</v>
      </c>
      <c r="D36" s="396" t="s">
        <v>244</v>
      </c>
      <c r="E36" s="397">
        <v>5.2803025000127E13</v>
      </c>
      <c r="F36" s="404"/>
      <c r="H36" s="275">
        <f>29.6*9</f>
        <v>266.4</v>
      </c>
      <c r="I36" s="103">
        <f>29.6*20</f>
        <v>592</v>
      </c>
      <c r="J36" s="103">
        <f>I36-H36</f>
        <v>325.6</v>
      </c>
    </row>
    <row r="37">
      <c r="A37" s="400" t="s">
        <v>59</v>
      </c>
      <c r="B37" s="402" t="s">
        <v>60</v>
      </c>
      <c r="C37" s="395">
        <f t="shared" si="2"/>
        <v>562.4</v>
      </c>
      <c r="D37" s="396" t="s">
        <v>244</v>
      </c>
      <c r="E37" s="397">
        <v>5.2803025000127E13</v>
      </c>
      <c r="F37" s="405"/>
    </row>
    <row r="38">
      <c r="A38" s="386" t="s">
        <v>394</v>
      </c>
      <c r="B38" s="389" t="s">
        <v>395</v>
      </c>
      <c r="C38" s="395">
        <f t="shared" si="2"/>
        <v>562.4</v>
      </c>
      <c r="D38" s="396" t="s">
        <v>244</v>
      </c>
      <c r="E38" s="397">
        <v>5.2803025000127E13</v>
      </c>
      <c r="F38" s="450"/>
    </row>
    <row r="39">
      <c r="A39" s="406" t="s">
        <v>134</v>
      </c>
      <c r="B39" s="410" t="s">
        <v>236</v>
      </c>
      <c r="C39" s="388">
        <f t="shared" si="2"/>
        <v>562.4</v>
      </c>
      <c r="D39" s="389" t="s">
        <v>244</v>
      </c>
      <c r="E39" s="390">
        <v>5.2803025000127E13</v>
      </c>
      <c r="F39" s="412"/>
    </row>
    <row r="40">
      <c r="A40" s="392"/>
      <c r="B40" s="393"/>
      <c r="C40" s="395"/>
      <c r="D40" s="396"/>
      <c r="E40" s="397"/>
      <c r="F40" s="400"/>
    </row>
    <row r="41">
      <c r="A41" s="249"/>
      <c r="B41" s="251"/>
      <c r="C41" s="268"/>
      <c r="D41" s="270"/>
      <c r="E41" s="281"/>
      <c r="F41" s="348"/>
    </row>
    <row r="42">
      <c r="A42" s="290" t="s">
        <v>288</v>
      </c>
      <c r="B42" s="290"/>
      <c r="C42" s="257">
        <f>SUM(C33:C40)</f>
        <v>3936.8</v>
      </c>
      <c r="D42" s="218"/>
      <c r="E42" s="218"/>
      <c r="F42" s="218"/>
    </row>
  </sheetData>
  <autoFilter ref="$A$5:$F$23">
    <sortState ref="A5:F23">
      <sortCondition ref="A5:A23"/>
    </sortState>
  </autoFilter>
  <mergeCells count="7">
    <mergeCell ref="A1:F1"/>
    <mergeCell ref="A2:F2"/>
    <mergeCell ref="A4:D4"/>
    <mergeCell ref="A27:B27"/>
    <mergeCell ref="A28:F28"/>
    <mergeCell ref="A29:F29"/>
    <mergeCell ref="A31:D31"/>
  </mergeCells>
  <printOptions gridLines="1" horizontalCentered="1"/>
  <pageMargins bottom="0.75" footer="0.0" header="0.0" left="0.25" right="0.25" top="0.75"/>
  <pageSetup paperSize="9" cellComments="atEnd" orientation="landscape" pageOrder="overThenDown"/>
  <drawing r:id="rId1"/>
  <tableParts count="1">
    <tablePart r:id="rId3"/>
  </tableParts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2.88"/>
    <col customWidth="1" min="2" max="2" width="14.25"/>
    <col customWidth="1" min="3" max="3" width="10.38"/>
    <col customWidth="1" min="4" max="4" width="14.38"/>
    <col customWidth="1" min="5" max="5" width="14.88"/>
    <col customWidth="1" min="6" max="6" width="60.25"/>
  </cols>
  <sheetData>
    <row r="1" ht="21.75" customHeight="1">
      <c r="A1" s="203" t="s">
        <v>3</v>
      </c>
      <c r="F1" s="15"/>
    </row>
    <row r="2">
      <c r="A2" s="225" t="s">
        <v>198</v>
      </c>
      <c r="B2" s="211"/>
      <c r="C2" s="211"/>
      <c r="D2" s="211"/>
      <c r="E2" s="211"/>
      <c r="F2" s="91"/>
      <c r="G2" s="275" t="s">
        <v>173</v>
      </c>
    </row>
    <row r="3" ht="24.0" customHeight="1">
      <c r="A3" s="227">
        <v>29.6</v>
      </c>
      <c r="B3" s="228">
        <v>20.0</v>
      </c>
      <c r="C3" s="229" t="s">
        <v>21</v>
      </c>
      <c r="D3" s="230"/>
      <c r="E3" s="230"/>
      <c r="F3" s="5"/>
      <c r="G3" s="292">
        <f>C26+C45</f>
        <v>14533.6</v>
      </c>
    </row>
    <row r="4" ht="34.5" customHeight="1">
      <c r="A4" s="232" t="s">
        <v>417</v>
      </c>
      <c r="B4" s="211"/>
      <c r="C4" s="211"/>
      <c r="D4" s="91"/>
      <c r="E4" s="277" t="s">
        <v>418</v>
      </c>
      <c r="F4" s="293" t="s">
        <v>24</v>
      </c>
    </row>
    <row r="5" ht="24.75" customHeight="1">
      <c r="A5" s="49" t="s">
        <v>176</v>
      </c>
      <c r="B5" s="50" t="s">
        <v>26</v>
      </c>
      <c r="C5" s="50" t="s">
        <v>119</v>
      </c>
      <c r="D5" s="235" t="s">
        <v>220</v>
      </c>
      <c r="E5" s="278" t="s">
        <v>253</v>
      </c>
      <c r="F5" s="52" t="s">
        <v>28</v>
      </c>
    </row>
    <row r="6">
      <c r="A6" s="453" t="s">
        <v>308</v>
      </c>
      <c r="B6" s="380" t="s">
        <v>309</v>
      </c>
      <c r="C6" s="351">
        <f t="shared" ref="C6:C8" si="1">29.6*$B$3</f>
        <v>592</v>
      </c>
      <c r="D6" s="353" t="s">
        <v>244</v>
      </c>
      <c r="E6" s="354">
        <v>5.393606000158E12</v>
      </c>
      <c r="F6" s="394"/>
      <c r="G6" s="451"/>
    </row>
    <row r="7">
      <c r="A7" s="356" t="s">
        <v>33</v>
      </c>
      <c r="B7" s="357" t="s">
        <v>34</v>
      </c>
      <c r="C7" s="358">
        <f t="shared" si="1"/>
        <v>592</v>
      </c>
      <c r="D7" s="359" t="s">
        <v>244</v>
      </c>
      <c r="E7" s="360">
        <v>5.393606000158E12</v>
      </c>
      <c r="F7" s="361"/>
      <c r="G7" s="454"/>
    </row>
    <row r="8">
      <c r="A8" s="401" t="s">
        <v>35</v>
      </c>
      <c r="B8" s="403" t="s">
        <v>36</v>
      </c>
      <c r="C8" s="351">
        <f t="shared" si="1"/>
        <v>592</v>
      </c>
      <c r="D8" s="353" t="s">
        <v>244</v>
      </c>
      <c r="E8" s="354">
        <v>5.393606000158E12</v>
      </c>
      <c r="F8" s="355"/>
      <c r="G8" s="455"/>
      <c r="H8" s="170"/>
      <c r="I8" s="170"/>
      <c r="J8" s="170"/>
      <c r="K8" s="170"/>
      <c r="L8" s="170"/>
      <c r="M8" s="170"/>
      <c r="N8" s="170"/>
      <c r="O8" s="170"/>
      <c r="P8" s="170"/>
      <c r="Q8" s="170"/>
      <c r="R8" s="170"/>
      <c r="S8" s="170"/>
      <c r="T8" s="170"/>
      <c r="U8" s="170"/>
      <c r="V8" s="170"/>
      <c r="W8" s="170"/>
      <c r="X8" s="170"/>
      <c r="Y8" s="170"/>
      <c r="Z8" s="170"/>
    </row>
    <row r="9">
      <c r="A9" s="456" t="s">
        <v>298</v>
      </c>
      <c r="B9" s="457" t="s">
        <v>320</v>
      </c>
      <c r="C9" s="458"/>
      <c r="D9" s="459" t="s">
        <v>244</v>
      </c>
      <c r="E9" s="460">
        <v>5.393606000158E12</v>
      </c>
      <c r="F9" s="461" t="s">
        <v>420</v>
      </c>
      <c r="G9" s="462" t="s">
        <v>421</v>
      </c>
      <c r="H9" s="170"/>
      <c r="I9" s="170"/>
      <c r="J9" s="170"/>
      <c r="K9" s="170"/>
      <c r="L9" s="170"/>
      <c r="M9" s="170"/>
      <c r="N9" s="170"/>
      <c r="O9" s="170"/>
      <c r="P9" s="170"/>
      <c r="Q9" s="170"/>
      <c r="R9" s="170"/>
      <c r="S9" s="170"/>
      <c r="T9" s="170"/>
      <c r="U9" s="170"/>
      <c r="V9" s="170"/>
      <c r="W9" s="170"/>
      <c r="X9" s="170"/>
      <c r="Y9" s="170"/>
      <c r="Z9" s="170"/>
    </row>
    <row r="10">
      <c r="A10" s="418" t="s">
        <v>422</v>
      </c>
      <c r="B10" s="385" t="s">
        <v>423</v>
      </c>
      <c r="C10" s="351">
        <f t="shared" ref="C10:C12" si="2">29.6*$B$3</f>
        <v>592</v>
      </c>
      <c r="D10" s="353" t="s">
        <v>244</v>
      </c>
      <c r="E10" s="354">
        <v>5.393606000158E12</v>
      </c>
      <c r="F10" s="355"/>
      <c r="G10" s="463"/>
    </row>
    <row r="11">
      <c r="A11" s="364" t="s">
        <v>234</v>
      </c>
      <c r="B11" s="365" t="s">
        <v>235</v>
      </c>
      <c r="C11" s="358">
        <f t="shared" si="2"/>
        <v>592</v>
      </c>
      <c r="D11" s="365" t="s">
        <v>244</v>
      </c>
      <c r="E11" s="366">
        <v>5.393606000158E12</v>
      </c>
      <c r="F11" s="361"/>
      <c r="G11" s="454"/>
    </row>
    <row r="12">
      <c r="A12" s="379" t="s">
        <v>203</v>
      </c>
      <c r="B12" s="380" t="s">
        <v>204</v>
      </c>
      <c r="C12" s="351">
        <f t="shared" si="2"/>
        <v>592</v>
      </c>
      <c r="D12" s="367" t="s">
        <v>244</v>
      </c>
      <c r="E12" s="368">
        <v>5.393606000158E12</v>
      </c>
      <c r="F12" s="355"/>
      <c r="G12" s="463"/>
    </row>
    <row r="13">
      <c r="A13" s="456" t="s">
        <v>313</v>
      </c>
      <c r="B13" s="464" t="s">
        <v>314</v>
      </c>
      <c r="C13" s="465"/>
      <c r="D13" s="466" t="s">
        <v>244</v>
      </c>
      <c r="E13" s="467">
        <v>5.393606000158E12</v>
      </c>
      <c r="F13" s="468" t="s">
        <v>420</v>
      </c>
      <c r="G13" s="469"/>
    </row>
    <row r="14">
      <c r="A14" s="470" t="s">
        <v>147</v>
      </c>
      <c r="B14" s="471" t="s">
        <v>148</v>
      </c>
      <c r="C14" s="351">
        <f t="shared" ref="C14:C15" si="3">29.6*$B$3</f>
        <v>592</v>
      </c>
      <c r="D14" s="353" t="s">
        <v>244</v>
      </c>
      <c r="E14" s="354">
        <v>5.393606000158E12</v>
      </c>
      <c r="F14" s="355"/>
      <c r="G14" s="463"/>
    </row>
    <row r="15">
      <c r="A15" s="373" t="s">
        <v>61</v>
      </c>
      <c r="B15" s="374" t="s">
        <v>62</v>
      </c>
      <c r="C15" s="358">
        <f t="shared" si="3"/>
        <v>592</v>
      </c>
      <c r="D15" s="359" t="s">
        <v>244</v>
      </c>
      <c r="E15" s="360">
        <v>5.393606000158E12</v>
      </c>
      <c r="F15" s="378"/>
      <c r="G15" s="472"/>
      <c r="H15" s="170"/>
      <c r="I15" s="170"/>
      <c r="J15" s="170"/>
      <c r="K15" s="170"/>
      <c r="L15" s="170"/>
      <c r="M15" s="170"/>
      <c r="N15" s="170"/>
      <c r="O15" s="170"/>
      <c r="P15" s="170"/>
      <c r="Q15" s="170"/>
      <c r="R15" s="170"/>
      <c r="S15" s="170"/>
      <c r="T15" s="170"/>
      <c r="U15" s="170"/>
      <c r="V15" s="170"/>
      <c r="W15" s="170"/>
      <c r="X15" s="170"/>
      <c r="Y15" s="170"/>
      <c r="Z15" s="170"/>
    </row>
    <row r="16">
      <c r="A16" s="349" t="s">
        <v>425</v>
      </c>
      <c r="B16" s="350" t="s">
        <v>426</v>
      </c>
      <c r="C16" s="351"/>
      <c r="D16" s="353"/>
      <c r="E16" s="354"/>
      <c r="F16" s="355"/>
      <c r="G16" s="455"/>
      <c r="H16" s="170"/>
      <c r="I16" s="170"/>
      <c r="J16" s="170"/>
      <c r="K16" s="170"/>
      <c r="L16" s="170"/>
      <c r="M16" s="170"/>
      <c r="N16" s="170"/>
      <c r="O16" s="170"/>
      <c r="P16" s="170"/>
      <c r="Q16" s="170"/>
      <c r="R16" s="170"/>
      <c r="S16" s="170"/>
      <c r="T16" s="170"/>
      <c r="U16" s="170"/>
      <c r="V16" s="170"/>
      <c r="W16" s="170"/>
      <c r="X16" s="170"/>
      <c r="Y16" s="170"/>
      <c r="Z16" s="170"/>
    </row>
    <row r="17">
      <c r="A17" s="473" t="s">
        <v>276</v>
      </c>
      <c r="B17" s="370" t="s">
        <v>283</v>
      </c>
      <c r="C17" s="358">
        <f t="shared" ref="C17:C24" si="4">29.6*$B$3</f>
        <v>592</v>
      </c>
      <c r="D17" s="359" t="s">
        <v>244</v>
      </c>
      <c r="E17" s="360">
        <v>5.393606000158E12</v>
      </c>
      <c r="F17" s="361" t="s">
        <v>427</v>
      </c>
      <c r="G17" s="454"/>
    </row>
    <row r="18">
      <c r="A18" s="379" t="s">
        <v>299</v>
      </c>
      <c r="B18" s="415" t="s">
        <v>321</v>
      </c>
      <c r="C18" s="351">
        <f t="shared" si="4"/>
        <v>592</v>
      </c>
      <c r="D18" s="353" t="s">
        <v>244</v>
      </c>
      <c r="E18" s="354">
        <v>5.393606000158E12</v>
      </c>
      <c r="F18" s="355"/>
      <c r="G18" s="463"/>
    </row>
    <row r="19">
      <c r="A19" s="364" t="s">
        <v>164</v>
      </c>
      <c r="B19" s="365" t="s">
        <v>165</v>
      </c>
      <c r="C19" s="358">
        <f t="shared" si="4"/>
        <v>592</v>
      </c>
      <c r="D19" s="359" t="s">
        <v>244</v>
      </c>
      <c r="E19" s="360">
        <v>5.393606000158E12</v>
      </c>
      <c r="F19" s="416"/>
      <c r="G19" s="469"/>
    </row>
    <row r="20">
      <c r="A20" s="362" t="s">
        <v>315</v>
      </c>
      <c r="B20" s="385" t="s">
        <v>325</v>
      </c>
      <c r="C20" s="351">
        <f t="shared" si="4"/>
        <v>592</v>
      </c>
      <c r="D20" s="353" t="s">
        <v>244</v>
      </c>
      <c r="E20" s="354">
        <v>5.393606000158E12</v>
      </c>
      <c r="F20" s="394"/>
      <c r="G20" s="451"/>
    </row>
    <row r="21">
      <c r="A21" s="474" t="s">
        <v>430</v>
      </c>
      <c r="B21" s="417" t="s">
        <v>431</v>
      </c>
      <c r="C21" s="358">
        <f t="shared" si="4"/>
        <v>592</v>
      </c>
      <c r="D21" s="359" t="s">
        <v>244</v>
      </c>
      <c r="E21" s="360">
        <v>5.393606000158E12</v>
      </c>
      <c r="F21" s="416"/>
      <c r="G21" s="469"/>
    </row>
    <row r="22">
      <c r="A22" s="362" t="s">
        <v>171</v>
      </c>
      <c r="B22" s="385" t="s">
        <v>224</v>
      </c>
      <c r="C22" s="351">
        <f t="shared" si="4"/>
        <v>592</v>
      </c>
      <c r="D22" s="353" t="s">
        <v>244</v>
      </c>
      <c r="E22" s="354">
        <v>5.393606000158E12</v>
      </c>
      <c r="F22" s="381"/>
      <c r="G22" s="451"/>
    </row>
    <row r="23">
      <c r="A23" s="364" t="s">
        <v>167</v>
      </c>
      <c r="B23" s="417" t="s">
        <v>201</v>
      </c>
      <c r="C23" s="358">
        <f t="shared" si="4"/>
        <v>592</v>
      </c>
      <c r="D23" s="359" t="s">
        <v>244</v>
      </c>
      <c r="E23" s="360">
        <v>5.393606000158E12</v>
      </c>
      <c r="F23" s="361"/>
      <c r="G23" s="454"/>
    </row>
    <row r="24">
      <c r="A24" s="456" t="s">
        <v>305</v>
      </c>
      <c r="B24" s="363" t="s">
        <v>336</v>
      </c>
      <c r="C24" s="351">
        <f t="shared" si="4"/>
        <v>592</v>
      </c>
      <c r="D24" s="353" t="s">
        <v>244</v>
      </c>
      <c r="E24" s="354">
        <v>5.393606000158E12</v>
      </c>
      <c r="F24" s="355" t="s">
        <v>427</v>
      </c>
      <c r="G24" s="463"/>
    </row>
    <row r="25">
      <c r="A25" s="364" t="s">
        <v>77</v>
      </c>
      <c r="B25" s="365" t="s">
        <v>78</v>
      </c>
      <c r="C25" s="358">
        <f>29.6*17</f>
        <v>503.2</v>
      </c>
      <c r="D25" s="359" t="s">
        <v>244</v>
      </c>
      <c r="E25" s="360">
        <v>5.393606000158E12</v>
      </c>
      <c r="F25" s="416" t="s">
        <v>432</v>
      </c>
      <c r="G25" s="469"/>
    </row>
    <row r="26">
      <c r="A26" s="324" t="s">
        <v>288</v>
      </c>
      <c r="B26" s="325"/>
      <c r="C26" s="326">
        <f>SUM(C6:C25)</f>
        <v>9975.2</v>
      </c>
      <c r="D26" s="321"/>
      <c r="E26" s="322"/>
      <c r="F26" s="327"/>
    </row>
    <row r="27">
      <c r="A27" s="328"/>
      <c r="B27" s="329"/>
      <c r="C27" s="330"/>
      <c r="D27" s="331"/>
      <c r="E27" s="331"/>
      <c r="F27" s="332"/>
      <c r="G27" s="287"/>
    </row>
    <row r="28">
      <c r="A28" s="333"/>
      <c r="B28" s="333"/>
      <c r="C28" s="334"/>
      <c r="D28" s="262"/>
      <c r="E28" s="262"/>
      <c r="F28" s="262"/>
      <c r="G28" s="170"/>
      <c r="H28" s="170"/>
      <c r="I28" s="170"/>
      <c r="J28" s="170"/>
      <c r="K28" s="170"/>
      <c r="L28" s="170"/>
      <c r="M28" s="170"/>
      <c r="N28" s="170"/>
      <c r="O28" s="170"/>
      <c r="P28" s="170"/>
      <c r="Q28" s="170"/>
      <c r="R28" s="170"/>
      <c r="S28" s="170"/>
      <c r="T28" s="170"/>
      <c r="U28" s="170"/>
      <c r="V28" s="170"/>
      <c r="W28" s="170"/>
      <c r="X28" s="170"/>
      <c r="Y28" s="170"/>
      <c r="Z28" s="170"/>
    </row>
    <row r="29">
      <c r="A29" s="333"/>
      <c r="C29" s="334"/>
      <c r="D29" s="262"/>
      <c r="E29" s="262"/>
      <c r="F29" s="262"/>
      <c r="G29" s="170"/>
      <c r="H29" s="170"/>
      <c r="I29" s="170"/>
      <c r="J29" s="170"/>
      <c r="K29" s="170"/>
      <c r="L29" s="170"/>
      <c r="M29" s="170"/>
      <c r="N29" s="170"/>
      <c r="O29" s="170"/>
      <c r="P29" s="170"/>
      <c r="Q29" s="170"/>
      <c r="R29" s="170"/>
      <c r="S29" s="170"/>
      <c r="T29" s="170"/>
      <c r="U29" s="170"/>
      <c r="V29" s="170"/>
      <c r="W29" s="170"/>
      <c r="X29" s="170"/>
      <c r="Y29" s="170"/>
      <c r="Z29" s="170"/>
    </row>
    <row r="30">
      <c r="A30" s="203" t="s">
        <v>3</v>
      </c>
      <c r="F30" s="15"/>
      <c r="G30" s="170"/>
      <c r="H30" s="170"/>
      <c r="I30" s="170"/>
      <c r="J30" s="170"/>
      <c r="K30" s="170"/>
      <c r="L30" s="170"/>
      <c r="M30" s="170"/>
      <c r="N30" s="170"/>
      <c r="O30" s="170"/>
      <c r="P30" s="170"/>
      <c r="Q30" s="170"/>
      <c r="R30" s="170"/>
      <c r="S30" s="170"/>
      <c r="T30" s="170"/>
      <c r="U30" s="170"/>
      <c r="V30" s="170"/>
      <c r="W30" s="170"/>
      <c r="X30" s="170"/>
      <c r="Y30" s="170"/>
      <c r="Z30" s="170"/>
    </row>
    <row r="31">
      <c r="A31" s="225" t="s">
        <v>188</v>
      </c>
      <c r="B31" s="211"/>
      <c r="C31" s="211"/>
      <c r="D31" s="211"/>
      <c r="E31" s="211"/>
      <c r="F31" s="91"/>
      <c r="G31" s="170"/>
      <c r="H31" s="170"/>
      <c r="I31" s="170"/>
      <c r="J31" s="170"/>
      <c r="K31" s="170"/>
      <c r="L31" s="170"/>
      <c r="M31" s="170"/>
      <c r="N31" s="170"/>
      <c r="O31" s="170"/>
      <c r="P31" s="170"/>
      <c r="Q31" s="170"/>
      <c r="R31" s="170"/>
      <c r="S31" s="170"/>
      <c r="T31" s="170"/>
      <c r="U31" s="170"/>
      <c r="V31" s="170"/>
      <c r="W31" s="170"/>
      <c r="X31" s="170"/>
      <c r="Y31" s="170"/>
      <c r="Z31" s="170"/>
    </row>
    <row r="32" ht="26.25" customHeight="1">
      <c r="A32" s="227">
        <v>29.6</v>
      </c>
      <c r="B32" s="228">
        <f>B3</f>
        <v>20</v>
      </c>
      <c r="C32" s="229" t="s">
        <v>21</v>
      </c>
      <c r="D32" s="230" t="s">
        <v>117</v>
      </c>
      <c r="E32" s="230"/>
      <c r="F32" s="5"/>
      <c r="G32" s="170"/>
      <c r="H32" s="170"/>
      <c r="I32" s="170"/>
      <c r="J32" s="170"/>
      <c r="K32" s="170"/>
      <c r="L32" s="170"/>
      <c r="M32" s="170"/>
      <c r="N32" s="170"/>
      <c r="O32" s="170"/>
      <c r="P32" s="170"/>
      <c r="Q32" s="170"/>
      <c r="R32" s="170"/>
      <c r="S32" s="170"/>
      <c r="T32" s="170"/>
      <c r="U32" s="170"/>
      <c r="V32" s="170"/>
      <c r="W32" s="170"/>
      <c r="X32" s="170"/>
      <c r="Y32" s="170"/>
      <c r="Z32" s="170"/>
    </row>
    <row r="33" ht="29.25" customHeight="1">
      <c r="A33" s="232" t="s">
        <v>316</v>
      </c>
      <c r="B33" s="211"/>
      <c r="C33" s="211"/>
      <c r="D33" s="91"/>
      <c r="E33" s="277"/>
      <c r="F33" s="335" t="s">
        <v>24</v>
      </c>
      <c r="G33" s="170"/>
      <c r="H33" s="170"/>
      <c r="I33" s="170"/>
      <c r="J33" s="170"/>
      <c r="K33" s="170"/>
      <c r="L33" s="170"/>
      <c r="M33" s="170"/>
      <c r="N33" s="170"/>
      <c r="O33" s="170"/>
      <c r="P33" s="170"/>
      <c r="Q33" s="170"/>
      <c r="R33" s="170"/>
      <c r="S33" s="170"/>
      <c r="T33" s="170"/>
      <c r="U33" s="170"/>
      <c r="V33" s="170"/>
      <c r="W33" s="170"/>
      <c r="X33" s="170"/>
      <c r="Y33" s="170"/>
      <c r="Z33" s="170"/>
    </row>
    <row r="34" ht="31.5" customHeight="1">
      <c r="A34" s="264" t="s">
        <v>176</v>
      </c>
      <c r="B34" s="265" t="s">
        <v>26</v>
      </c>
      <c r="C34" s="265" t="s">
        <v>119</v>
      </c>
      <c r="D34" s="235" t="s">
        <v>220</v>
      </c>
      <c r="E34" s="278" t="s">
        <v>253</v>
      </c>
      <c r="F34" s="336" t="s">
        <v>28</v>
      </c>
      <c r="G34" s="170"/>
      <c r="H34" s="170"/>
      <c r="I34" s="170"/>
      <c r="J34" s="170"/>
      <c r="K34" s="170"/>
      <c r="L34" s="170"/>
      <c r="M34" s="170"/>
      <c r="N34" s="170"/>
      <c r="O34" s="170"/>
      <c r="P34" s="170"/>
      <c r="Q34" s="170"/>
      <c r="R34" s="170"/>
      <c r="S34" s="170"/>
      <c r="T34" s="170"/>
      <c r="U34" s="170"/>
      <c r="V34" s="170"/>
      <c r="W34" s="170"/>
      <c r="X34" s="170"/>
      <c r="Y34" s="170"/>
      <c r="Z34" s="170"/>
    </row>
    <row r="35">
      <c r="A35" s="386" t="s">
        <v>248</v>
      </c>
      <c r="B35" s="387" t="s">
        <v>239</v>
      </c>
      <c r="C35" s="388">
        <f t="shared" ref="C35:C36" si="5">29.6*$B$3</f>
        <v>592</v>
      </c>
      <c r="D35" s="389" t="s">
        <v>244</v>
      </c>
      <c r="E35" s="390">
        <v>5.2803025000127E13</v>
      </c>
      <c r="F35" s="391"/>
      <c r="G35" s="170"/>
      <c r="H35" s="170"/>
      <c r="I35" s="170"/>
      <c r="J35" s="170"/>
      <c r="K35" s="170"/>
      <c r="L35" s="170"/>
      <c r="M35" s="170"/>
      <c r="N35" s="170"/>
      <c r="O35" s="170"/>
      <c r="P35" s="170"/>
      <c r="Q35" s="170"/>
      <c r="R35" s="170"/>
      <c r="S35" s="170"/>
      <c r="T35" s="170"/>
      <c r="U35" s="170"/>
      <c r="V35" s="170"/>
      <c r="W35" s="170"/>
      <c r="X35" s="170"/>
      <c r="Y35" s="170"/>
      <c r="Z35" s="170"/>
    </row>
    <row r="36">
      <c r="A36" s="392" t="s">
        <v>363</v>
      </c>
      <c r="B36" s="387" t="s">
        <v>364</v>
      </c>
      <c r="C36" s="388">
        <f t="shared" si="5"/>
        <v>592</v>
      </c>
      <c r="D36" s="389" t="s">
        <v>244</v>
      </c>
      <c r="E36" s="390">
        <v>5.2803025000127E13</v>
      </c>
      <c r="F36" s="450"/>
    </row>
    <row r="37">
      <c r="A37" s="392" t="s">
        <v>249</v>
      </c>
      <c r="B37" s="393" t="s">
        <v>250</v>
      </c>
      <c r="C37" s="395">
        <f>29.6*17</f>
        <v>503.2</v>
      </c>
      <c r="D37" s="396" t="s">
        <v>244</v>
      </c>
      <c r="E37" s="397">
        <v>5.2803025000127E13</v>
      </c>
      <c r="F37" s="478" t="s">
        <v>432</v>
      </c>
    </row>
    <row r="38">
      <c r="A38" s="400" t="s">
        <v>80</v>
      </c>
      <c r="B38" s="402" t="s">
        <v>81</v>
      </c>
      <c r="C38" s="395">
        <f t="shared" ref="C38:C41" si="6">29.6*$B$3</f>
        <v>592</v>
      </c>
      <c r="D38" s="396" t="s">
        <v>244</v>
      </c>
      <c r="E38" s="397">
        <v>5.2803025000127E13</v>
      </c>
      <c r="F38" s="404"/>
      <c r="H38" s="275">
        <f>29.6*9</f>
        <v>266.4</v>
      </c>
      <c r="I38" s="103">
        <f>29.6*20</f>
        <v>592</v>
      </c>
      <c r="J38" s="103">
        <f>I38-H38</f>
        <v>325.6</v>
      </c>
    </row>
    <row r="39">
      <c r="A39" s="400" t="s">
        <v>59</v>
      </c>
      <c r="B39" s="402" t="s">
        <v>60</v>
      </c>
      <c r="C39" s="395">
        <f t="shared" si="6"/>
        <v>592</v>
      </c>
      <c r="D39" s="396" t="s">
        <v>244</v>
      </c>
      <c r="E39" s="397">
        <v>5.2803025000127E13</v>
      </c>
      <c r="F39" s="405"/>
    </row>
    <row r="40">
      <c r="A40" s="386" t="s">
        <v>394</v>
      </c>
      <c r="B40" s="389" t="s">
        <v>395</v>
      </c>
      <c r="C40" s="395">
        <f t="shared" si="6"/>
        <v>592</v>
      </c>
      <c r="D40" s="396" t="s">
        <v>244</v>
      </c>
      <c r="E40" s="397">
        <v>5.2803025000127E13</v>
      </c>
      <c r="F40" s="450"/>
    </row>
    <row r="41">
      <c r="A41" s="386" t="s">
        <v>437</v>
      </c>
      <c r="B41" s="389" t="s">
        <v>438</v>
      </c>
      <c r="C41" s="395">
        <f t="shared" si="6"/>
        <v>592</v>
      </c>
      <c r="D41" s="396" t="s">
        <v>244</v>
      </c>
      <c r="E41" s="397">
        <v>5.2803025000127E13</v>
      </c>
      <c r="F41" s="412"/>
    </row>
    <row r="42">
      <c r="A42" s="406" t="s">
        <v>134</v>
      </c>
      <c r="B42" s="410" t="s">
        <v>236</v>
      </c>
      <c r="C42" s="388">
        <f>29.6*17</f>
        <v>503.2</v>
      </c>
      <c r="D42" s="389" t="s">
        <v>244</v>
      </c>
      <c r="E42" s="390">
        <v>5.2803025000127E13</v>
      </c>
      <c r="F42" s="478" t="s">
        <v>432</v>
      </c>
    </row>
    <row r="43">
      <c r="A43" s="392"/>
      <c r="B43" s="393"/>
      <c r="C43" s="395"/>
      <c r="D43" s="396"/>
      <c r="E43" s="397"/>
      <c r="F43" s="400"/>
    </row>
    <row r="44">
      <c r="A44" s="249"/>
      <c r="B44" s="251"/>
      <c r="C44" s="268"/>
      <c r="D44" s="270"/>
      <c r="E44" s="281"/>
      <c r="F44" s="348"/>
    </row>
    <row r="45">
      <c r="A45" s="290" t="s">
        <v>288</v>
      </c>
      <c r="B45" s="290"/>
      <c r="C45" s="257">
        <f>SUM(C35:C43)</f>
        <v>4558.4</v>
      </c>
      <c r="D45" s="218"/>
      <c r="E45" s="218"/>
      <c r="F45" s="218"/>
    </row>
  </sheetData>
  <autoFilter ref="$A$5:$F$25">
    <sortState ref="A5:F25">
      <sortCondition ref="A5:A25"/>
    </sortState>
  </autoFilter>
  <mergeCells count="7">
    <mergeCell ref="A1:F1"/>
    <mergeCell ref="A2:F2"/>
    <mergeCell ref="A4:D4"/>
    <mergeCell ref="A29:B29"/>
    <mergeCell ref="A30:F30"/>
    <mergeCell ref="A31:F31"/>
    <mergeCell ref="A33:D33"/>
  </mergeCells>
  <printOptions gridLines="1" horizontalCentered="1"/>
  <pageMargins bottom="0.75" footer="0.0" header="0.0" left="0.25" right="0.25" top="0.75"/>
  <pageSetup paperSize="9" cellComments="atEnd" orientation="landscape" pageOrder="overThenDown"/>
  <drawing r:id="rId1"/>
  <tableParts count="1">
    <tablePart r:id="rId3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2.88"/>
    <col customWidth="1" min="2" max="2" width="14.25"/>
    <col customWidth="1" min="3" max="3" width="10.38"/>
    <col customWidth="1" min="4" max="4" width="14.38"/>
    <col customWidth="1" min="5" max="5" width="14.88"/>
    <col customWidth="1" min="6" max="6" width="60.25"/>
  </cols>
  <sheetData>
    <row r="1" ht="21.75" customHeight="1">
      <c r="A1" s="203" t="s">
        <v>3</v>
      </c>
      <c r="F1" s="15"/>
    </row>
    <row r="2">
      <c r="A2" s="225" t="s">
        <v>198</v>
      </c>
      <c r="B2" s="211"/>
      <c r="C2" s="211"/>
      <c r="D2" s="211"/>
      <c r="E2" s="211"/>
      <c r="F2" s="91"/>
      <c r="G2" s="275" t="s">
        <v>173</v>
      </c>
    </row>
    <row r="3" ht="24.0" customHeight="1">
      <c r="A3" s="227">
        <v>29.6</v>
      </c>
      <c r="B3" s="228">
        <v>21.0</v>
      </c>
      <c r="C3" s="229" t="s">
        <v>21</v>
      </c>
      <c r="D3" s="230"/>
      <c r="E3" s="230"/>
      <c r="F3" s="5"/>
      <c r="G3" s="292">
        <f>C21+C40</f>
        <v>13320</v>
      </c>
    </row>
    <row r="4" ht="34.5" customHeight="1">
      <c r="A4" s="232" t="s">
        <v>428</v>
      </c>
      <c r="B4" s="211"/>
      <c r="C4" s="211"/>
      <c r="D4" s="91"/>
      <c r="E4" s="277" t="s">
        <v>429</v>
      </c>
      <c r="F4" s="293" t="s">
        <v>24</v>
      </c>
    </row>
    <row r="5" ht="24.75" customHeight="1">
      <c r="A5" s="49" t="s">
        <v>176</v>
      </c>
      <c r="B5" s="50" t="s">
        <v>26</v>
      </c>
      <c r="C5" s="50" t="s">
        <v>119</v>
      </c>
      <c r="D5" s="235" t="s">
        <v>220</v>
      </c>
      <c r="E5" s="278" t="s">
        <v>253</v>
      </c>
      <c r="F5" s="52" t="s">
        <v>28</v>
      </c>
    </row>
    <row r="6">
      <c r="A6" s="349" t="s">
        <v>33</v>
      </c>
      <c r="B6" s="350" t="s">
        <v>34</v>
      </c>
      <c r="C6" s="351">
        <f t="shared" ref="C6:C19" si="1">29.6*$B$3</f>
        <v>621.6</v>
      </c>
      <c r="D6" s="353" t="s">
        <v>244</v>
      </c>
      <c r="E6" s="354">
        <v>5.393606000158E12</v>
      </c>
      <c r="F6" s="355"/>
      <c r="G6" s="463"/>
    </row>
    <row r="7">
      <c r="A7" s="373" t="s">
        <v>35</v>
      </c>
      <c r="B7" s="374" t="s">
        <v>36</v>
      </c>
      <c r="C7" s="358">
        <f t="shared" si="1"/>
        <v>621.6</v>
      </c>
      <c r="D7" s="359" t="s">
        <v>244</v>
      </c>
      <c r="E7" s="360">
        <v>5.393606000158E12</v>
      </c>
      <c r="F7" s="361"/>
      <c r="G7" s="472"/>
      <c r="H7" s="170"/>
      <c r="I7" s="170"/>
      <c r="J7" s="170"/>
      <c r="K7" s="170"/>
      <c r="L7" s="170"/>
      <c r="M7" s="170"/>
      <c r="N7" s="170"/>
      <c r="O7" s="170"/>
      <c r="P7" s="170"/>
      <c r="Q7" s="170"/>
      <c r="R7" s="170"/>
      <c r="S7" s="170"/>
      <c r="T7" s="170"/>
      <c r="U7" s="170"/>
      <c r="V7" s="170"/>
      <c r="W7" s="170"/>
      <c r="X7" s="170"/>
      <c r="Y7" s="170"/>
      <c r="Z7" s="170"/>
    </row>
    <row r="8">
      <c r="A8" s="418" t="s">
        <v>422</v>
      </c>
      <c r="B8" s="385" t="s">
        <v>423</v>
      </c>
      <c r="C8" s="351">
        <f t="shared" si="1"/>
        <v>621.6</v>
      </c>
      <c r="D8" s="353" t="s">
        <v>244</v>
      </c>
      <c r="E8" s="354">
        <v>5.393606000158E12</v>
      </c>
      <c r="F8" s="355"/>
      <c r="G8" s="463"/>
    </row>
    <row r="9">
      <c r="A9" s="364" t="s">
        <v>234</v>
      </c>
      <c r="B9" s="365" t="s">
        <v>235</v>
      </c>
      <c r="C9" s="358">
        <f t="shared" si="1"/>
        <v>621.6</v>
      </c>
      <c r="D9" s="365" t="s">
        <v>244</v>
      </c>
      <c r="E9" s="366">
        <v>5.393606000158E12</v>
      </c>
      <c r="F9" s="361"/>
      <c r="G9" s="454"/>
    </row>
    <row r="10">
      <c r="A10" s="379" t="s">
        <v>203</v>
      </c>
      <c r="B10" s="380" t="s">
        <v>204</v>
      </c>
      <c r="C10" s="351">
        <f t="shared" si="1"/>
        <v>621.6</v>
      </c>
      <c r="D10" s="367" t="s">
        <v>244</v>
      </c>
      <c r="E10" s="368">
        <v>5.393606000158E12</v>
      </c>
      <c r="F10" s="355"/>
      <c r="G10" s="463"/>
    </row>
    <row r="11">
      <c r="A11" s="474" t="s">
        <v>425</v>
      </c>
      <c r="B11" s="365"/>
      <c r="C11" s="358">
        <f t="shared" si="1"/>
        <v>621.6</v>
      </c>
      <c r="D11" s="359" t="s">
        <v>244</v>
      </c>
      <c r="E11" s="360">
        <v>5.393606000158E12</v>
      </c>
      <c r="F11" s="475"/>
      <c r="G11" s="469"/>
    </row>
    <row r="12">
      <c r="A12" s="470" t="s">
        <v>147</v>
      </c>
      <c r="B12" s="471" t="s">
        <v>148</v>
      </c>
      <c r="C12" s="351">
        <f t="shared" si="1"/>
        <v>621.6</v>
      </c>
      <c r="D12" s="353" t="s">
        <v>244</v>
      </c>
      <c r="E12" s="354">
        <v>5.393606000158E12</v>
      </c>
      <c r="F12" s="355"/>
      <c r="G12" s="463"/>
    </row>
    <row r="13">
      <c r="A13" s="373" t="s">
        <v>61</v>
      </c>
      <c r="B13" s="374" t="s">
        <v>62</v>
      </c>
      <c r="C13" s="358">
        <f t="shared" si="1"/>
        <v>621.6</v>
      </c>
      <c r="D13" s="359" t="s">
        <v>244</v>
      </c>
      <c r="E13" s="360">
        <v>5.393606000158E12</v>
      </c>
      <c r="F13" s="378"/>
      <c r="G13" s="472"/>
      <c r="H13" s="170"/>
      <c r="I13" s="170"/>
      <c r="J13" s="170"/>
      <c r="K13" s="170"/>
      <c r="L13" s="170"/>
      <c r="M13" s="170"/>
      <c r="N13" s="170"/>
      <c r="O13" s="170"/>
      <c r="P13" s="170"/>
      <c r="Q13" s="170"/>
      <c r="R13" s="170"/>
      <c r="S13" s="170"/>
      <c r="T13" s="170"/>
      <c r="U13" s="170"/>
      <c r="V13" s="170"/>
      <c r="W13" s="170"/>
      <c r="X13" s="170"/>
      <c r="Y13" s="170"/>
      <c r="Z13" s="170"/>
    </row>
    <row r="14">
      <c r="A14" s="379" t="s">
        <v>299</v>
      </c>
      <c r="B14" s="415" t="s">
        <v>321</v>
      </c>
      <c r="C14" s="351">
        <f t="shared" si="1"/>
        <v>621.6</v>
      </c>
      <c r="D14" s="353" t="s">
        <v>244</v>
      </c>
      <c r="E14" s="354">
        <v>5.393606000158E12</v>
      </c>
      <c r="F14" s="355"/>
      <c r="G14" s="463"/>
    </row>
    <row r="15">
      <c r="A15" s="364" t="s">
        <v>164</v>
      </c>
      <c r="B15" s="365" t="s">
        <v>165</v>
      </c>
      <c r="C15" s="358">
        <f t="shared" si="1"/>
        <v>621.6</v>
      </c>
      <c r="D15" s="359" t="s">
        <v>244</v>
      </c>
      <c r="E15" s="360">
        <v>5.393606000158E12</v>
      </c>
      <c r="F15" s="416"/>
      <c r="G15" s="469"/>
    </row>
    <row r="16">
      <c r="A16" s="362" t="s">
        <v>315</v>
      </c>
      <c r="B16" s="385" t="s">
        <v>325</v>
      </c>
      <c r="C16" s="351">
        <f t="shared" si="1"/>
        <v>621.6</v>
      </c>
      <c r="D16" s="353" t="s">
        <v>244</v>
      </c>
      <c r="E16" s="354">
        <v>5.393606000158E12</v>
      </c>
      <c r="F16" s="394"/>
      <c r="G16" s="451"/>
    </row>
    <row r="17">
      <c r="A17" s="474" t="s">
        <v>430</v>
      </c>
      <c r="B17" s="417" t="s">
        <v>431</v>
      </c>
      <c r="C17" s="358">
        <f t="shared" si="1"/>
        <v>621.6</v>
      </c>
      <c r="D17" s="359" t="s">
        <v>244</v>
      </c>
      <c r="E17" s="360">
        <v>5.393606000158E12</v>
      </c>
      <c r="F17" s="416"/>
      <c r="G17" s="469"/>
    </row>
    <row r="18">
      <c r="A18" s="362" t="s">
        <v>171</v>
      </c>
      <c r="B18" s="385" t="s">
        <v>224</v>
      </c>
      <c r="C18" s="351">
        <f t="shared" si="1"/>
        <v>621.6</v>
      </c>
      <c r="D18" s="353" t="s">
        <v>244</v>
      </c>
      <c r="E18" s="354">
        <v>5.393606000158E12</v>
      </c>
      <c r="F18" s="381"/>
      <c r="G18" s="451"/>
    </row>
    <row r="19">
      <c r="A19" s="364" t="s">
        <v>167</v>
      </c>
      <c r="B19" s="417" t="s">
        <v>201</v>
      </c>
      <c r="C19" s="358">
        <f t="shared" si="1"/>
        <v>621.6</v>
      </c>
      <c r="D19" s="359" t="s">
        <v>244</v>
      </c>
      <c r="E19" s="360">
        <v>5.393606000158E12</v>
      </c>
      <c r="F19" s="361"/>
      <c r="G19" s="454"/>
    </row>
    <row r="20">
      <c r="A20" s="362" t="s">
        <v>77</v>
      </c>
      <c r="B20" s="367" t="s">
        <v>78</v>
      </c>
      <c r="C20" s="476">
        <f>29.6*15</f>
        <v>444</v>
      </c>
      <c r="D20" s="353" t="s">
        <v>244</v>
      </c>
      <c r="E20" s="354">
        <v>5.393606000158E12</v>
      </c>
      <c r="F20" s="477" t="s">
        <v>433</v>
      </c>
      <c r="G20" s="451"/>
    </row>
    <row r="21">
      <c r="A21" s="324" t="s">
        <v>288</v>
      </c>
      <c r="B21" s="325"/>
      <c r="C21" s="326">
        <f>SUM(C6:C20)</f>
        <v>9146.4</v>
      </c>
      <c r="D21" s="321"/>
      <c r="E21" s="322"/>
      <c r="F21" s="327"/>
    </row>
    <row r="22">
      <c r="A22" s="328"/>
      <c r="B22" s="329"/>
      <c r="C22" s="330"/>
      <c r="D22" s="331"/>
      <c r="E22" s="331"/>
      <c r="F22" s="332"/>
      <c r="G22" s="287"/>
    </row>
    <row r="23">
      <c r="A23" s="333"/>
      <c r="B23" s="333"/>
      <c r="C23" s="334"/>
      <c r="D23" s="262"/>
      <c r="E23" s="262"/>
      <c r="F23" s="262"/>
      <c r="G23" s="170"/>
      <c r="H23" s="170"/>
      <c r="I23" s="170"/>
      <c r="J23" s="170"/>
      <c r="K23" s="170"/>
      <c r="L23" s="170"/>
      <c r="M23" s="170"/>
      <c r="N23" s="170"/>
      <c r="O23" s="170"/>
      <c r="P23" s="170"/>
      <c r="Q23" s="170"/>
      <c r="R23" s="170"/>
      <c r="S23" s="170"/>
      <c r="T23" s="170"/>
      <c r="U23" s="170"/>
      <c r="V23" s="170"/>
      <c r="W23" s="170"/>
      <c r="X23" s="170"/>
      <c r="Y23" s="170"/>
      <c r="Z23" s="170"/>
    </row>
    <row r="24">
      <c r="A24" s="333"/>
      <c r="C24" s="334"/>
      <c r="D24" s="262"/>
      <c r="E24" s="262"/>
      <c r="F24" s="262"/>
      <c r="G24" s="170"/>
      <c r="H24" s="170"/>
      <c r="I24" s="170"/>
      <c r="J24" s="170"/>
      <c r="K24" s="170"/>
      <c r="L24" s="170"/>
      <c r="M24" s="170"/>
      <c r="N24" s="170"/>
      <c r="O24" s="170"/>
      <c r="P24" s="170"/>
      <c r="Q24" s="170"/>
      <c r="R24" s="170"/>
      <c r="S24" s="170"/>
      <c r="T24" s="170"/>
      <c r="U24" s="170"/>
      <c r="V24" s="170"/>
      <c r="W24" s="170"/>
      <c r="X24" s="170"/>
      <c r="Y24" s="170"/>
      <c r="Z24" s="170"/>
    </row>
    <row r="25">
      <c r="A25" s="203" t="s">
        <v>3</v>
      </c>
      <c r="F25" s="15"/>
      <c r="G25" s="170"/>
      <c r="H25" s="170"/>
      <c r="I25" s="170"/>
      <c r="J25" s="170"/>
      <c r="K25" s="170"/>
      <c r="L25" s="170"/>
      <c r="M25" s="170"/>
      <c r="N25" s="170"/>
      <c r="O25" s="170"/>
      <c r="P25" s="170"/>
      <c r="Q25" s="170"/>
      <c r="R25" s="170"/>
      <c r="S25" s="170"/>
      <c r="T25" s="170"/>
      <c r="U25" s="170"/>
      <c r="V25" s="170"/>
      <c r="W25" s="170"/>
      <c r="X25" s="170"/>
      <c r="Y25" s="170"/>
      <c r="Z25" s="170"/>
    </row>
    <row r="26">
      <c r="A26" s="225" t="s">
        <v>188</v>
      </c>
      <c r="B26" s="211"/>
      <c r="C26" s="211"/>
      <c r="D26" s="211"/>
      <c r="E26" s="211"/>
      <c r="F26" s="91"/>
      <c r="G26" s="170"/>
      <c r="H26" s="170"/>
      <c r="I26" s="170"/>
      <c r="J26" s="170"/>
      <c r="K26" s="170"/>
      <c r="L26" s="170"/>
      <c r="M26" s="170"/>
      <c r="N26" s="170"/>
      <c r="O26" s="170"/>
      <c r="P26" s="170"/>
      <c r="Q26" s="170"/>
      <c r="R26" s="170"/>
      <c r="S26" s="170"/>
      <c r="T26" s="170"/>
      <c r="U26" s="170"/>
      <c r="V26" s="170"/>
      <c r="W26" s="170"/>
      <c r="X26" s="170"/>
      <c r="Y26" s="170"/>
      <c r="Z26" s="170"/>
    </row>
    <row r="27" ht="26.25" customHeight="1">
      <c r="A27" s="227">
        <v>29.6</v>
      </c>
      <c r="B27" s="228">
        <v>21.0</v>
      </c>
      <c r="C27" s="229" t="s">
        <v>21</v>
      </c>
      <c r="D27" s="230" t="s">
        <v>117</v>
      </c>
      <c r="E27" s="230"/>
      <c r="F27" s="5"/>
      <c r="G27" s="170"/>
      <c r="H27" s="170"/>
      <c r="I27" s="170"/>
      <c r="J27" s="170"/>
      <c r="K27" s="170"/>
      <c r="L27" s="170"/>
      <c r="M27" s="170"/>
      <c r="N27" s="170"/>
      <c r="O27" s="170"/>
      <c r="P27" s="170"/>
      <c r="Q27" s="170"/>
      <c r="R27" s="170"/>
      <c r="S27" s="170"/>
      <c r="T27" s="170"/>
      <c r="U27" s="170"/>
      <c r="V27" s="170"/>
      <c r="W27" s="170"/>
      <c r="X27" s="170"/>
      <c r="Y27" s="170"/>
      <c r="Z27" s="170"/>
    </row>
    <row r="28" ht="44.25" customHeight="1">
      <c r="A28" s="232" t="s">
        <v>428</v>
      </c>
      <c r="B28" s="211"/>
      <c r="C28" s="211"/>
      <c r="D28" s="91"/>
      <c r="E28" s="277" t="s">
        <v>429</v>
      </c>
      <c r="F28" s="335" t="s">
        <v>24</v>
      </c>
      <c r="G28" s="170"/>
      <c r="H28" s="170"/>
      <c r="I28" s="170"/>
      <c r="J28" s="170"/>
      <c r="K28" s="170"/>
      <c r="L28" s="170"/>
      <c r="M28" s="170"/>
      <c r="N28" s="170"/>
      <c r="O28" s="170"/>
      <c r="P28" s="170"/>
      <c r="Q28" s="170"/>
      <c r="R28" s="170"/>
      <c r="S28" s="170"/>
      <c r="T28" s="170"/>
      <c r="U28" s="170"/>
      <c r="V28" s="170"/>
      <c r="W28" s="170"/>
      <c r="X28" s="170"/>
      <c r="Y28" s="170"/>
      <c r="Z28" s="170"/>
    </row>
    <row r="29" ht="44.25" customHeight="1">
      <c r="A29" s="264" t="s">
        <v>176</v>
      </c>
      <c r="B29" s="265" t="s">
        <v>26</v>
      </c>
      <c r="C29" s="265" t="s">
        <v>119</v>
      </c>
      <c r="D29" s="235" t="s">
        <v>220</v>
      </c>
      <c r="E29" s="278" t="s">
        <v>253</v>
      </c>
      <c r="F29" s="336" t="s">
        <v>28</v>
      </c>
      <c r="G29" s="170"/>
      <c r="H29" s="170"/>
      <c r="I29" s="170"/>
      <c r="J29" s="170"/>
      <c r="K29" s="170"/>
      <c r="L29" s="170"/>
      <c r="M29" s="170"/>
      <c r="N29" s="170"/>
      <c r="O29" s="170"/>
      <c r="P29" s="170"/>
      <c r="Q29" s="170"/>
      <c r="R29" s="170"/>
      <c r="S29" s="170"/>
      <c r="T29" s="170"/>
      <c r="U29" s="170"/>
      <c r="V29" s="170"/>
      <c r="W29" s="170"/>
      <c r="X29" s="170"/>
      <c r="Y29" s="170"/>
      <c r="Z29" s="170"/>
    </row>
    <row r="30">
      <c r="A30" s="386" t="s">
        <v>248</v>
      </c>
      <c r="B30" s="387" t="s">
        <v>239</v>
      </c>
      <c r="C30" s="388">
        <f t="shared" ref="C30:C31" si="2">29.6*$B$3</f>
        <v>621.6</v>
      </c>
      <c r="D30" s="389" t="s">
        <v>244</v>
      </c>
      <c r="E30" s="390">
        <v>5.2803025000127E13</v>
      </c>
      <c r="F30" s="391"/>
      <c r="G30" s="170"/>
      <c r="H30" s="170"/>
      <c r="I30" s="170"/>
      <c r="J30" s="170"/>
      <c r="K30" s="170"/>
      <c r="L30" s="170"/>
      <c r="M30" s="170"/>
      <c r="N30" s="170"/>
      <c r="O30" s="170"/>
      <c r="P30" s="170"/>
      <c r="Q30" s="170"/>
      <c r="R30" s="170"/>
      <c r="S30" s="170"/>
      <c r="T30" s="170"/>
      <c r="U30" s="170"/>
      <c r="V30" s="170"/>
      <c r="W30" s="170"/>
      <c r="X30" s="170"/>
      <c r="Y30" s="170"/>
      <c r="Z30" s="170"/>
    </row>
    <row r="31">
      <c r="A31" s="392" t="s">
        <v>363</v>
      </c>
      <c r="B31" s="387" t="s">
        <v>364</v>
      </c>
      <c r="C31" s="388">
        <f t="shared" si="2"/>
        <v>621.6</v>
      </c>
      <c r="D31" s="389" t="s">
        <v>244</v>
      </c>
      <c r="E31" s="390">
        <v>5.2803025000127E13</v>
      </c>
      <c r="F31" s="450"/>
    </row>
    <row r="32">
      <c r="A32" s="392" t="s">
        <v>249</v>
      </c>
      <c r="B32" s="393" t="s">
        <v>250</v>
      </c>
      <c r="C32" s="479">
        <f>29.6*15</f>
        <v>444</v>
      </c>
      <c r="D32" s="396" t="s">
        <v>244</v>
      </c>
      <c r="E32" s="397">
        <v>5.2803025000127E13</v>
      </c>
      <c r="F32" s="478" t="s">
        <v>439</v>
      </c>
    </row>
    <row r="33">
      <c r="A33" s="400" t="s">
        <v>80</v>
      </c>
      <c r="B33" s="402" t="s">
        <v>81</v>
      </c>
      <c r="C33" s="479">
        <f>29.6*6</f>
        <v>177.6</v>
      </c>
      <c r="D33" s="396" t="s">
        <v>244</v>
      </c>
      <c r="E33" s="397">
        <v>5.2803025000127E13</v>
      </c>
      <c r="F33" s="480" t="s">
        <v>440</v>
      </c>
      <c r="H33" s="275">
        <f>29.6*9</f>
        <v>266.4</v>
      </c>
      <c r="I33" s="103">
        <f>29.6*20</f>
        <v>592</v>
      </c>
      <c r="J33" s="103">
        <f>I33-H33</f>
        <v>325.6</v>
      </c>
    </row>
    <row r="34">
      <c r="A34" s="400" t="s">
        <v>59</v>
      </c>
      <c r="B34" s="402" t="s">
        <v>60</v>
      </c>
      <c r="C34" s="395">
        <f t="shared" ref="C34:C36" si="3">29.6*$B$3</f>
        <v>621.6</v>
      </c>
      <c r="D34" s="396" t="s">
        <v>244</v>
      </c>
      <c r="E34" s="397">
        <v>5.2803025000127E13</v>
      </c>
      <c r="F34" s="405"/>
    </row>
    <row r="35">
      <c r="A35" s="386" t="s">
        <v>394</v>
      </c>
      <c r="B35" s="389" t="s">
        <v>395</v>
      </c>
      <c r="C35" s="395">
        <f t="shared" si="3"/>
        <v>621.6</v>
      </c>
      <c r="D35" s="396" t="s">
        <v>244</v>
      </c>
      <c r="E35" s="397">
        <v>5.2803025000127E13</v>
      </c>
      <c r="F35" s="450"/>
    </row>
    <row r="36">
      <c r="A36" s="386" t="s">
        <v>437</v>
      </c>
      <c r="B36" s="389" t="s">
        <v>438</v>
      </c>
      <c r="C36" s="395">
        <f t="shared" si="3"/>
        <v>621.6</v>
      </c>
      <c r="D36" s="396" t="s">
        <v>244</v>
      </c>
      <c r="E36" s="397">
        <v>5.2803025000127E13</v>
      </c>
      <c r="F36" s="412"/>
    </row>
    <row r="37">
      <c r="A37" s="406" t="s">
        <v>134</v>
      </c>
      <c r="B37" s="410" t="s">
        <v>236</v>
      </c>
      <c r="C37" s="479">
        <f>29.6*15</f>
        <v>444</v>
      </c>
      <c r="D37" s="389" t="s">
        <v>244</v>
      </c>
      <c r="E37" s="390">
        <v>5.2803025000127E13</v>
      </c>
      <c r="F37" s="478" t="s">
        <v>439</v>
      </c>
    </row>
    <row r="38">
      <c r="A38" s="392"/>
      <c r="B38" s="393"/>
      <c r="C38" s="395"/>
      <c r="D38" s="396"/>
      <c r="E38" s="397"/>
      <c r="F38" s="400"/>
    </row>
    <row r="39">
      <c r="A39" s="249"/>
      <c r="B39" s="251"/>
      <c r="C39" s="268"/>
      <c r="D39" s="270"/>
      <c r="E39" s="281"/>
      <c r="F39" s="348"/>
    </row>
    <row r="40">
      <c r="A40" s="290" t="s">
        <v>288</v>
      </c>
      <c r="B40" s="290"/>
      <c r="C40" s="257">
        <f>SUM(C30:C38)</f>
        <v>4173.6</v>
      </c>
      <c r="D40" s="218"/>
      <c r="E40" s="218"/>
      <c r="F40" s="218"/>
    </row>
  </sheetData>
  <autoFilter ref="$A$5:$F$20">
    <sortState ref="A5:F20">
      <sortCondition ref="A5:A20"/>
    </sortState>
  </autoFilter>
  <mergeCells count="7">
    <mergeCell ref="A1:F1"/>
    <mergeCell ref="A2:F2"/>
    <mergeCell ref="A4:D4"/>
    <mergeCell ref="A24:B24"/>
    <mergeCell ref="A25:F25"/>
    <mergeCell ref="A26:F26"/>
    <mergeCell ref="A28:D28"/>
  </mergeCells>
  <printOptions gridLines="1" horizontalCentered="1"/>
  <pageMargins bottom="0.75" footer="0.0" header="0.0" left="0.25" right="0.25" top="0.75"/>
  <pageSetup paperSize="9" cellComments="atEnd" orientation="landscape" pageOrder="overThenDown"/>
  <drawing r:id="rId1"/>
  <tableParts count="1">
    <tablePart r:id="rId3"/>
  </tableParts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2.88"/>
    <col customWidth="1" min="2" max="2" width="14.25"/>
    <col customWidth="1" min="3" max="3" width="10.38"/>
    <col customWidth="1" min="4" max="4" width="14.38"/>
    <col customWidth="1" min="5" max="5" width="14.88"/>
    <col customWidth="1" min="6" max="6" width="60.25"/>
  </cols>
  <sheetData>
    <row r="1" ht="21.75" customHeight="1">
      <c r="A1" s="203" t="s">
        <v>3</v>
      </c>
      <c r="F1" s="15"/>
    </row>
    <row r="2">
      <c r="A2" s="225" t="s">
        <v>198</v>
      </c>
      <c r="B2" s="211"/>
      <c r="C2" s="211"/>
      <c r="D2" s="211"/>
      <c r="E2" s="211"/>
      <c r="F2" s="91"/>
      <c r="G2" s="275" t="s">
        <v>173</v>
      </c>
    </row>
    <row r="3" ht="24.0" customHeight="1">
      <c r="A3" s="227">
        <v>29.6</v>
      </c>
      <c r="B3" s="228">
        <v>18.0</v>
      </c>
      <c r="C3" s="229" t="s">
        <v>21</v>
      </c>
      <c r="D3" s="230"/>
      <c r="E3" s="230"/>
      <c r="F3" s="110" t="s">
        <v>434</v>
      </c>
      <c r="G3" s="292">
        <f>C23+C42</f>
        <v>13320</v>
      </c>
    </row>
    <row r="4" ht="34.5" customHeight="1">
      <c r="A4" s="232" t="s">
        <v>435</v>
      </c>
      <c r="B4" s="211"/>
      <c r="C4" s="211"/>
      <c r="D4" s="91"/>
      <c r="E4" s="277" t="s">
        <v>436</v>
      </c>
      <c r="F4" s="293" t="s">
        <v>24</v>
      </c>
    </row>
    <row r="5" ht="24.75" customHeight="1">
      <c r="A5" s="49" t="s">
        <v>176</v>
      </c>
      <c r="B5" s="50" t="s">
        <v>26</v>
      </c>
      <c r="C5" s="50" t="s">
        <v>119</v>
      </c>
      <c r="D5" s="235" t="s">
        <v>220</v>
      </c>
      <c r="E5" s="278" t="s">
        <v>253</v>
      </c>
      <c r="F5" s="52" t="s">
        <v>28</v>
      </c>
    </row>
    <row r="6">
      <c r="A6" s="349" t="s">
        <v>33</v>
      </c>
      <c r="B6" s="350" t="s">
        <v>34</v>
      </c>
      <c r="C6" s="351">
        <f t="shared" ref="C6:C22" si="1">29.6*$B$3</f>
        <v>532.8</v>
      </c>
      <c r="D6" s="353" t="s">
        <v>244</v>
      </c>
      <c r="E6" s="354">
        <v>5.393606000158E12</v>
      </c>
      <c r="F6" s="355"/>
      <c r="G6" s="463"/>
    </row>
    <row r="7">
      <c r="A7" s="373" t="s">
        <v>35</v>
      </c>
      <c r="B7" s="374" t="s">
        <v>36</v>
      </c>
      <c r="C7" s="358">
        <f t="shared" si="1"/>
        <v>532.8</v>
      </c>
      <c r="D7" s="359" t="s">
        <v>244</v>
      </c>
      <c r="E7" s="360">
        <v>5.393606000158E12</v>
      </c>
      <c r="F7" s="361"/>
      <c r="G7" s="472"/>
      <c r="H7" s="170"/>
      <c r="I7" s="170"/>
      <c r="J7" s="170"/>
      <c r="K7" s="170"/>
      <c r="L7" s="170"/>
      <c r="M7" s="170"/>
      <c r="N7" s="170"/>
      <c r="O7" s="170"/>
      <c r="P7" s="170"/>
      <c r="Q7" s="170"/>
      <c r="R7" s="170"/>
      <c r="S7" s="170"/>
      <c r="T7" s="170"/>
      <c r="U7" s="170"/>
      <c r="V7" s="170"/>
      <c r="W7" s="170"/>
      <c r="X7" s="170"/>
      <c r="Y7" s="170"/>
      <c r="Z7" s="170"/>
    </row>
    <row r="8">
      <c r="A8" s="418" t="s">
        <v>100</v>
      </c>
      <c r="B8" s="385"/>
      <c r="C8" s="351">
        <f t="shared" si="1"/>
        <v>532.8</v>
      </c>
      <c r="D8" s="353" t="s">
        <v>244</v>
      </c>
      <c r="E8" s="354">
        <v>5.393606000158E12</v>
      </c>
      <c r="F8" s="355"/>
      <c r="G8" s="463"/>
    </row>
    <row r="9">
      <c r="A9" s="474" t="s">
        <v>422</v>
      </c>
      <c r="B9" s="417" t="s">
        <v>423</v>
      </c>
      <c r="C9" s="358">
        <f t="shared" si="1"/>
        <v>532.8</v>
      </c>
      <c r="D9" s="359" t="s">
        <v>244</v>
      </c>
      <c r="E9" s="360">
        <v>5.393606000158E12</v>
      </c>
      <c r="F9" s="361"/>
      <c r="G9" s="454"/>
    </row>
    <row r="10">
      <c r="A10" s="362" t="s">
        <v>234</v>
      </c>
      <c r="B10" s="367" t="s">
        <v>235</v>
      </c>
      <c r="C10" s="351">
        <f t="shared" si="1"/>
        <v>532.8</v>
      </c>
      <c r="D10" s="367" t="s">
        <v>244</v>
      </c>
      <c r="E10" s="368">
        <v>5.393606000158E12</v>
      </c>
      <c r="F10" s="355"/>
      <c r="G10" s="463"/>
    </row>
    <row r="11">
      <c r="A11" s="382" t="s">
        <v>203</v>
      </c>
      <c r="B11" s="383" t="s">
        <v>204</v>
      </c>
      <c r="C11" s="358">
        <f t="shared" si="1"/>
        <v>532.8</v>
      </c>
      <c r="D11" s="365" t="s">
        <v>244</v>
      </c>
      <c r="E11" s="366">
        <v>5.393606000158E12</v>
      </c>
      <c r="F11" s="361" t="s">
        <v>441</v>
      </c>
      <c r="G11" s="454"/>
    </row>
    <row r="12">
      <c r="A12" s="418" t="s">
        <v>425</v>
      </c>
      <c r="B12" s="367"/>
      <c r="C12" s="351">
        <f t="shared" si="1"/>
        <v>532.8</v>
      </c>
      <c r="D12" s="353" t="s">
        <v>244</v>
      </c>
      <c r="E12" s="354">
        <v>5.393606000158E12</v>
      </c>
      <c r="F12" s="481"/>
      <c r="G12" s="451"/>
    </row>
    <row r="13">
      <c r="A13" s="411" t="s">
        <v>147</v>
      </c>
      <c r="B13" s="413" t="s">
        <v>148</v>
      </c>
      <c r="C13" s="358">
        <f t="shared" si="1"/>
        <v>532.8</v>
      </c>
      <c r="D13" s="359" t="s">
        <v>244</v>
      </c>
      <c r="E13" s="360">
        <v>5.393606000158E12</v>
      </c>
      <c r="F13" s="361"/>
      <c r="G13" s="454"/>
    </row>
    <row r="14">
      <c r="A14" s="401" t="s">
        <v>61</v>
      </c>
      <c r="B14" s="403" t="s">
        <v>62</v>
      </c>
      <c r="C14" s="351">
        <f t="shared" si="1"/>
        <v>532.8</v>
      </c>
      <c r="D14" s="353" t="s">
        <v>244</v>
      </c>
      <c r="E14" s="354">
        <v>5.393606000158E12</v>
      </c>
      <c r="F14" s="414"/>
      <c r="G14" s="455"/>
      <c r="H14" s="170"/>
      <c r="I14" s="170"/>
      <c r="J14" s="170"/>
      <c r="K14" s="170"/>
      <c r="L14" s="170"/>
      <c r="M14" s="170"/>
      <c r="N14" s="170"/>
      <c r="O14" s="170"/>
      <c r="P14" s="170"/>
      <c r="Q14" s="170"/>
      <c r="R14" s="170"/>
      <c r="S14" s="170"/>
      <c r="T14" s="170"/>
      <c r="U14" s="170"/>
      <c r="V14" s="170"/>
      <c r="W14" s="170"/>
      <c r="X14" s="170"/>
      <c r="Y14" s="170"/>
      <c r="Z14" s="170"/>
    </row>
    <row r="15">
      <c r="A15" s="382" t="s">
        <v>299</v>
      </c>
      <c r="B15" s="370" t="s">
        <v>321</v>
      </c>
      <c r="C15" s="358">
        <f t="shared" si="1"/>
        <v>532.8</v>
      </c>
      <c r="D15" s="359" t="s">
        <v>244</v>
      </c>
      <c r="E15" s="360">
        <v>5.393606000158E12</v>
      </c>
      <c r="F15" s="361"/>
      <c r="G15" s="454"/>
    </row>
    <row r="16">
      <c r="A16" s="362" t="s">
        <v>164</v>
      </c>
      <c r="B16" s="367" t="s">
        <v>165</v>
      </c>
      <c r="C16" s="351">
        <f t="shared" si="1"/>
        <v>532.8</v>
      </c>
      <c r="D16" s="353" t="s">
        <v>244</v>
      </c>
      <c r="E16" s="354">
        <v>5.393606000158E12</v>
      </c>
      <c r="F16" s="381"/>
      <c r="G16" s="451"/>
    </row>
    <row r="17">
      <c r="A17" s="364" t="s">
        <v>315</v>
      </c>
      <c r="B17" s="417" t="s">
        <v>325</v>
      </c>
      <c r="C17" s="358">
        <f t="shared" si="1"/>
        <v>532.8</v>
      </c>
      <c r="D17" s="359" t="s">
        <v>244</v>
      </c>
      <c r="E17" s="360">
        <v>5.393606000158E12</v>
      </c>
      <c r="F17" s="423"/>
      <c r="G17" s="469"/>
    </row>
    <row r="18">
      <c r="A18" s="418" t="s">
        <v>430</v>
      </c>
      <c r="B18" s="385" t="s">
        <v>431</v>
      </c>
      <c r="C18" s="351">
        <f t="shared" si="1"/>
        <v>532.8</v>
      </c>
      <c r="D18" s="353" t="s">
        <v>244</v>
      </c>
      <c r="E18" s="354">
        <v>5.393606000158E12</v>
      </c>
      <c r="F18" s="381"/>
      <c r="G18" s="451"/>
    </row>
    <row r="19">
      <c r="A19" s="474" t="s">
        <v>442</v>
      </c>
      <c r="B19" s="417"/>
      <c r="C19" s="358">
        <f t="shared" si="1"/>
        <v>532.8</v>
      </c>
      <c r="D19" s="359" t="s">
        <v>244</v>
      </c>
      <c r="E19" s="360">
        <v>5.393606000158E12</v>
      </c>
      <c r="F19" s="416"/>
      <c r="G19" s="469"/>
    </row>
    <row r="20">
      <c r="A20" s="362" t="s">
        <v>171</v>
      </c>
      <c r="B20" s="385" t="s">
        <v>224</v>
      </c>
      <c r="C20" s="351">
        <f t="shared" si="1"/>
        <v>532.8</v>
      </c>
      <c r="D20" s="353" t="s">
        <v>244</v>
      </c>
      <c r="E20" s="354">
        <v>5.393606000158E12</v>
      </c>
      <c r="F20" s="381"/>
      <c r="G20" s="451"/>
    </row>
    <row r="21">
      <c r="A21" s="364" t="s">
        <v>167</v>
      </c>
      <c r="B21" s="417" t="s">
        <v>201</v>
      </c>
      <c r="C21" s="358">
        <f t="shared" si="1"/>
        <v>532.8</v>
      </c>
      <c r="D21" s="359" t="s">
        <v>244</v>
      </c>
      <c r="E21" s="360">
        <v>5.393606000158E12</v>
      </c>
      <c r="F21" s="361"/>
      <c r="G21" s="454"/>
    </row>
    <row r="22">
      <c r="A22" s="362" t="s">
        <v>77</v>
      </c>
      <c r="B22" s="367" t="s">
        <v>78</v>
      </c>
      <c r="C22" s="351">
        <f t="shared" si="1"/>
        <v>532.8</v>
      </c>
      <c r="D22" s="353" t="s">
        <v>244</v>
      </c>
      <c r="E22" s="354">
        <v>5.393606000158E12</v>
      </c>
      <c r="F22" s="477"/>
      <c r="G22" s="451"/>
    </row>
    <row r="23">
      <c r="A23" s="324" t="s">
        <v>288</v>
      </c>
      <c r="B23" s="325"/>
      <c r="C23" s="326">
        <f>SUM(C6:C22)</f>
        <v>9057.6</v>
      </c>
      <c r="D23" s="321"/>
      <c r="E23" s="322"/>
      <c r="F23" s="327"/>
    </row>
    <row r="24">
      <c r="A24" s="328"/>
      <c r="B24" s="329"/>
      <c r="C24" s="330"/>
      <c r="D24" s="331"/>
      <c r="E24" s="331"/>
      <c r="F24" s="332"/>
      <c r="G24" s="287"/>
    </row>
    <row r="25">
      <c r="A25" s="333"/>
      <c r="B25" s="333"/>
      <c r="C25" s="334"/>
      <c r="D25" s="262"/>
      <c r="E25" s="262"/>
      <c r="F25" s="262"/>
      <c r="G25" s="170"/>
      <c r="H25" s="170"/>
      <c r="I25" s="170"/>
      <c r="J25" s="170"/>
      <c r="K25" s="170"/>
      <c r="L25" s="170"/>
      <c r="M25" s="170"/>
      <c r="N25" s="170"/>
      <c r="O25" s="170"/>
      <c r="P25" s="170"/>
      <c r="Q25" s="170"/>
      <c r="R25" s="170"/>
      <c r="S25" s="170"/>
      <c r="T25" s="170"/>
      <c r="U25" s="170"/>
      <c r="V25" s="170"/>
      <c r="W25" s="170"/>
      <c r="X25" s="170"/>
      <c r="Y25" s="170"/>
      <c r="Z25" s="170"/>
    </row>
    <row r="26">
      <c r="A26" s="333"/>
      <c r="C26" s="334"/>
      <c r="D26" s="262"/>
      <c r="E26" s="262"/>
      <c r="F26" s="262"/>
      <c r="G26" s="170"/>
      <c r="H26" s="170"/>
      <c r="I26" s="170"/>
      <c r="J26" s="170"/>
      <c r="K26" s="170"/>
      <c r="L26" s="170"/>
      <c r="M26" s="170"/>
      <c r="N26" s="170"/>
      <c r="O26" s="170"/>
      <c r="P26" s="170"/>
      <c r="Q26" s="170"/>
      <c r="R26" s="170"/>
      <c r="S26" s="170"/>
      <c r="T26" s="170"/>
      <c r="U26" s="170"/>
      <c r="V26" s="170"/>
      <c r="W26" s="170"/>
      <c r="X26" s="170"/>
      <c r="Y26" s="170"/>
      <c r="Z26" s="170"/>
    </row>
    <row r="27">
      <c r="A27" s="203" t="s">
        <v>3</v>
      </c>
      <c r="F27" s="15"/>
      <c r="G27" s="170"/>
      <c r="H27" s="170"/>
      <c r="I27" s="170"/>
      <c r="J27" s="170"/>
      <c r="K27" s="170"/>
      <c r="L27" s="170"/>
      <c r="M27" s="170"/>
      <c r="N27" s="170"/>
      <c r="O27" s="170"/>
      <c r="P27" s="170"/>
      <c r="Q27" s="170"/>
      <c r="R27" s="170"/>
      <c r="S27" s="170"/>
      <c r="T27" s="170"/>
      <c r="U27" s="170"/>
      <c r="V27" s="170"/>
      <c r="W27" s="170"/>
      <c r="X27" s="170"/>
      <c r="Y27" s="170"/>
      <c r="Z27" s="170"/>
    </row>
    <row r="28">
      <c r="A28" s="225" t="s">
        <v>188</v>
      </c>
      <c r="B28" s="211"/>
      <c r="C28" s="211"/>
      <c r="D28" s="211"/>
      <c r="E28" s="211"/>
      <c r="F28" s="91"/>
      <c r="G28" s="170"/>
      <c r="H28" s="170"/>
      <c r="I28" s="170"/>
      <c r="J28" s="170"/>
      <c r="K28" s="170"/>
      <c r="L28" s="170"/>
      <c r="M28" s="170"/>
      <c r="N28" s="170"/>
      <c r="O28" s="170"/>
      <c r="P28" s="170"/>
      <c r="Q28" s="170"/>
      <c r="R28" s="170"/>
      <c r="S28" s="170"/>
      <c r="T28" s="170"/>
      <c r="U28" s="170"/>
      <c r="V28" s="170"/>
      <c r="W28" s="170"/>
      <c r="X28" s="170"/>
      <c r="Y28" s="170"/>
      <c r="Z28" s="170"/>
    </row>
    <row r="29" ht="26.25" customHeight="1">
      <c r="A29" s="227">
        <v>29.6</v>
      </c>
      <c r="B29" s="228">
        <v>18.0</v>
      </c>
      <c r="C29" s="229" t="s">
        <v>21</v>
      </c>
      <c r="D29" s="230" t="s">
        <v>117</v>
      </c>
      <c r="E29" s="230"/>
      <c r="F29" s="5"/>
      <c r="G29" s="170"/>
      <c r="H29" s="170"/>
      <c r="I29" s="170"/>
      <c r="J29" s="170"/>
      <c r="K29" s="170"/>
      <c r="L29" s="170"/>
      <c r="M29" s="170"/>
      <c r="N29" s="170"/>
      <c r="O29" s="170"/>
      <c r="P29" s="170"/>
      <c r="Q29" s="170"/>
      <c r="R29" s="170"/>
      <c r="S29" s="170"/>
      <c r="T29" s="170"/>
      <c r="U29" s="170"/>
      <c r="V29" s="170"/>
      <c r="W29" s="170"/>
      <c r="X29" s="170"/>
      <c r="Y29" s="170"/>
      <c r="Z29" s="170"/>
    </row>
    <row r="30" ht="44.25" customHeight="1">
      <c r="A30" s="232" t="s">
        <v>435</v>
      </c>
      <c r="B30" s="211"/>
      <c r="C30" s="211"/>
      <c r="D30" s="91"/>
      <c r="E30" s="277" t="s">
        <v>436</v>
      </c>
      <c r="F30" s="335" t="s">
        <v>24</v>
      </c>
      <c r="G30" s="170"/>
      <c r="H30" s="170"/>
      <c r="I30" s="170"/>
      <c r="J30" s="170"/>
      <c r="K30" s="170"/>
      <c r="L30" s="170"/>
      <c r="M30" s="170"/>
      <c r="N30" s="170"/>
      <c r="O30" s="170"/>
      <c r="P30" s="170"/>
      <c r="Q30" s="170"/>
      <c r="R30" s="170"/>
      <c r="S30" s="170"/>
      <c r="T30" s="170"/>
      <c r="U30" s="170"/>
      <c r="V30" s="170"/>
      <c r="W30" s="170"/>
      <c r="X30" s="170"/>
      <c r="Y30" s="170"/>
      <c r="Z30" s="170"/>
    </row>
    <row r="31" ht="44.25" customHeight="1">
      <c r="A31" s="264" t="s">
        <v>176</v>
      </c>
      <c r="B31" s="265" t="s">
        <v>26</v>
      </c>
      <c r="C31" s="265" t="s">
        <v>119</v>
      </c>
      <c r="D31" s="235" t="s">
        <v>220</v>
      </c>
      <c r="E31" s="278" t="s">
        <v>253</v>
      </c>
      <c r="F31" s="336" t="s">
        <v>28</v>
      </c>
      <c r="G31" s="170"/>
      <c r="H31" s="170"/>
      <c r="I31" s="170"/>
      <c r="J31" s="170"/>
      <c r="K31" s="170"/>
      <c r="L31" s="170"/>
      <c r="M31" s="170"/>
      <c r="N31" s="170"/>
      <c r="O31" s="170"/>
      <c r="P31" s="170"/>
      <c r="Q31" s="170"/>
      <c r="R31" s="170"/>
      <c r="S31" s="170"/>
      <c r="T31" s="170"/>
      <c r="U31" s="170"/>
      <c r="V31" s="170"/>
      <c r="W31" s="170"/>
      <c r="X31" s="170"/>
      <c r="Y31" s="170"/>
      <c r="Z31" s="170"/>
    </row>
    <row r="32">
      <c r="A32" s="386" t="s">
        <v>248</v>
      </c>
      <c r="B32" s="387" t="s">
        <v>239</v>
      </c>
      <c r="C32" s="388">
        <f t="shared" ref="C32:C39" si="2">29.6*$B$3</f>
        <v>532.8</v>
      </c>
      <c r="D32" s="389" t="s">
        <v>244</v>
      </c>
      <c r="E32" s="390">
        <v>5.2803025000127E13</v>
      </c>
      <c r="F32" s="391"/>
      <c r="G32" s="170"/>
      <c r="H32" s="170"/>
      <c r="I32" s="170"/>
      <c r="J32" s="170"/>
      <c r="K32" s="170"/>
      <c r="L32" s="170"/>
      <c r="M32" s="170"/>
      <c r="N32" s="170"/>
      <c r="O32" s="170"/>
      <c r="P32" s="170"/>
      <c r="Q32" s="170"/>
      <c r="R32" s="170"/>
      <c r="S32" s="170"/>
      <c r="T32" s="170"/>
      <c r="U32" s="170"/>
      <c r="V32" s="170"/>
      <c r="W32" s="170"/>
      <c r="X32" s="170"/>
      <c r="Y32" s="170"/>
      <c r="Z32" s="170"/>
    </row>
    <row r="33">
      <c r="A33" s="392" t="s">
        <v>443</v>
      </c>
      <c r="B33" s="387"/>
      <c r="C33" s="388">
        <f t="shared" si="2"/>
        <v>532.8</v>
      </c>
      <c r="D33" s="389" t="s">
        <v>244</v>
      </c>
      <c r="E33" s="390">
        <v>5.2803025000127E13</v>
      </c>
      <c r="F33" s="450"/>
    </row>
    <row r="34">
      <c r="A34" s="392" t="s">
        <v>363</v>
      </c>
      <c r="B34" s="387" t="s">
        <v>364</v>
      </c>
      <c r="C34" s="388">
        <f t="shared" si="2"/>
        <v>532.8</v>
      </c>
      <c r="D34" s="389" t="s">
        <v>244</v>
      </c>
      <c r="E34" s="390">
        <v>5.2803025000127E13</v>
      </c>
      <c r="F34" s="450"/>
    </row>
    <row r="35">
      <c r="A35" s="392" t="s">
        <v>249</v>
      </c>
      <c r="B35" s="393" t="s">
        <v>250</v>
      </c>
      <c r="C35" s="388">
        <f t="shared" si="2"/>
        <v>532.8</v>
      </c>
      <c r="D35" s="396" t="s">
        <v>244</v>
      </c>
      <c r="E35" s="397">
        <v>5.2803025000127E13</v>
      </c>
      <c r="F35" s="478"/>
    </row>
    <row r="36">
      <c r="A36" s="400" t="s">
        <v>80</v>
      </c>
      <c r="B36" s="402" t="s">
        <v>81</v>
      </c>
      <c r="C36" s="388">
        <f t="shared" si="2"/>
        <v>532.8</v>
      </c>
      <c r="D36" s="396" t="s">
        <v>244</v>
      </c>
      <c r="E36" s="397">
        <v>5.2803025000127E13</v>
      </c>
      <c r="F36" s="480"/>
    </row>
    <row r="37">
      <c r="A37" s="400" t="s">
        <v>59</v>
      </c>
      <c r="B37" s="402" t="s">
        <v>60</v>
      </c>
      <c r="C37" s="388">
        <f t="shared" si="2"/>
        <v>532.8</v>
      </c>
      <c r="D37" s="396" t="s">
        <v>244</v>
      </c>
      <c r="E37" s="397">
        <v>5.2803025000127E13</v>
      </c>
      <c r="F37" s="405"/>
    </row>
    <row r="38">
      <c r="A38" s="386" t="s">
        <v>394</v>
      </c>
      <c r="B38" s="389" t="s">
        <v>395</v>
      </c>
      <c r="C38" s="388">
        <f t="shared" si="2"/>
        <v>532.8</v>
      </c>
      <c r="D38" s="396" t="s">
        <v>244</v>
      </c>
      <c r="E38" s="397">
        <v>5.2803025000127E13</v>
      </c>
      <c r="F38" s="450"/>
    </row>
    <row r="39">
      <c r="A39" s="406" t="s">
        <v>134</v>
      </c>
      <c r="B39" s="410" t="s">
        <v>236</v>
      </c>
      <c r="C39" s="388">
        <f t="shared" si="2"/>
        <v>532.8</v>
      </c>
      <c r="D39" s="389" t="s">
        <v>244</v>
      </c>
      <c r="E39" s="390">
        <v>5.2803025000127E13</v>
      </c>
      <c r="F39" s="478"/>
    </row>
    <row r="40">
      <c r="A40" s="392"/>
      <c r="B40" s="393"/>
      <c r="C40" s="395"/>
      <c r="D40" s="396"/>
      <c r="E40" s="397"/>
      <c r="F40" s="400"/>
    </row>
    <row r="41">
      <c r="A41" s="249"/>
      <c r="B41" s="251"/>
      <c r="C41" s="268"/>
      <c r="D41" s="270"/>
      <c r="E41" s="281"/>
      <c r="F41" s="348"/>
    </row>
    <row r="42">
      <c r="A42" s="290" t="s">
        <v>288</v>
      </c>
      <c r="B42" s="290"/>
      <c r="C42" s="257">
        <f>SUM(C32:C40)</f>
        <v>4262.4</v>
      </c>
      <c r="D42" s="218"/>
      <c r="E42" s="218"/>
      <c r="F42" s="218"/>
    </row>
  </sheetData>
  <autoFilter ref="$A$5:$F$22">
    <sortState ref="A5:F22">
      <sortCondition ref="A5:A22"/>
    </sortState>
  </autoFilter>
  <mergeCells count="7">
    <mergeCell ref="A1:F1"/>
    <mergeCell ref="A2:F2"/>
    <mergeCell ref="A4:D4"/>
    <mergeCell ref="A26:B26"/>
    <mergeCell ref="A27:F27"/>
    <mergeCell ref="A28:F28"/>
    <mergeCell ref="A30:D30"/>
  </mergeCells>
  <printOptions gridLines="1" horizontalCentered="1"/>
  <pageMargins bottom="0.75" footer="0.0" header="0.0" left="0.25" right="0.25" top="0.75"/>
  <pageSetup paperSize="9" cellComments="atEnd" orientation="landscape" pageOrder="overThenDown"/>
  <drawing r:id="rId1"/>
  <tableParts count="1">
    <tablePart r:id="rId3"/>
  </tableParts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2.88"/>
    <col customWidth="1" min="2" max="2" width="14.25"/>
    <col customWidth="1" min="3" max="3" width="10.38"/>
    <col customWidth="1" min="4" max="4" width="14.38"/>
    <col customWidth="1" min="5" max="5" width="14.88"/>
    <col customWidth="1" min="6" max="6" width="60.25"/>
  </cols>
  <sheetData>
    <row r="1" ht="21.75" customHeight="1">
      <c r="A1" s="203" t="s">
        <v>3</v>
      </c>
      <c r="F1" s="15"/>
    </row>
    <row r="2">
      <c r="A2" s="225" t="s">
        <v>198</v>
      </c>
      <c r="B2" s="211"/>
      <c r="C2" s="211"/>
      <c r="D2" s="211"/>
      <c r="E2" s="211"/>
      <c r="F2" s="91"/>
      <c r="G2" s="275" t="s">
        <v>173</v>
      </c>
    </row>
    <row r="3" ht="24.0" customHeight="1">
      <c r="A3" s="227">
        <v>32.5</v>
      </c>
      <c r="B3" s="228">
        <v>22.0</v>
      </c>
      <c r="C3" s="229" t="s">
        <v>21</v>
      </c>
      <c r="D3" s="230"/>
      <c r="E3" s="230"/>
      <c r="F3" s="110"/>
      <c r="G3" s="292">
        <f>C24+C41</f>
        <v>16672.5</v>
      </c>
    </row>
    <row r="4" ht="34.5" customHeight="1">
      <c r="A4" s="232" t="s">
        <v>444</v>
      </c>
      <c r="B4" s="211"/>
      <c r="C4" s="211"/>
      <c r="D4" s="91"/>
      <c r="E4" s="277" t="s">
        <v>445</v>
      </c>
      <c r="F4" s="293" t="s">
        <v>24</v>
      </c>
    </row>
    <row r="5" ht="24.75" customHeight="1">
      <c r="A5" s="49" t="s">
        <v>176</v>
      </c>
      <c r="B5" s="50" t="s">
        <v>26</v>
      </c>
      <c r="C5" s="50" t="s">
        <v>119</v>
      </c>
      <c r="D5" s="235" t="s">
        <v>220</v>
      </c>
      <c r="E5" s="278" t="s">
        <v>253</v>
      </c>
      <c r="F5" s="52" t="s">
        <v>28</v>
      </c>
    </row>
    <row r="6">
      <c r="A6" s="349" t="s">
        <v>33</v>
      </c>
      <c r="B6" s="403" t="s">
        <v>34</v>
      </c>
      <c r="C6" s="351">
        <f t="shared" ref="C6:C10" si="1">$A$3*$B$3</f>
        <v>715</v>
      </c>
      <c r="D6" s="353" t="s">
        <v>244</v>
      </c>
      <c r="E6" s="354">
        <v>5.393606000158E12</v>
      </c>
      <c r="F6" s="355"/>
      <c r="G6" s="463"/>
      <c r="H6" s="463"/>
    </row>
    <row r="7">
      <c r="A7" s="373" t="s">
        <v>35</v>
      </c>
      <c r="B7" s="374" t="s">
        <v>36</v>
      </c>
      <c r="C7" s="358">
        <f t="shared" si="1"/>
        <v>715</v>
      </c>
      <c r="D7" s="359" t="s">
        <v>244</v>
      </c>
      <c r="E7" s="360">
        <v>5.393606000158E12</v>
      </c>
      <c r="F7" s="361"/>
      <c r="G7" s="472"/>
      <c r="H7" s="472"/>
      <c r="I7" s="170"/>
      <c r="J7" s="170"/>
      <c r="K7" s="170"/>
      <c r="L7" s="170"/>
      <c r="M7" s="170"/>
      <c r="N7" s="170"/>
      <c r="O7" s="170"/>
      <c r="P7" s="170"/>
      <c r="Q7" s="170"/>
      <c r="R7" s="170"/>
      <c r="S7" s="170"/>
      <c r="T7" s="170"/>
      <c r="U7" s="170"/>
      <c r="V7" s="170"/>
      <c r="W7" s="170"/>
      <c r="X7" s="170"/>
      <c r="Y7" s="170"/>
      <c r="Z7" s="170"/>
    </row>
    <row r="8">
      <c r="A8" s="482" t="s">
        <v>100</v>
      </c>
      <c r="B8" s="483" t="s">
        <v>446</v>
      </c>
      <c r="C8" s="351">
        <f t="shared" si="1"/>
        <v>715</v>
      </c>
      <c r="D8" s="353" t="s">
        <v>244</v>
      </c>
      <c r="E8" s="354">
        <v>5.393606000158E12</v>
      </c>
      <c r="F8" s="355"/>
      <c r="G8" s="463"/>
      <c r="H8" s="463"/>
    </row>
    <row r="9">
      <c r="A9" s="484" t="s">
        <v>422</v>
      </c>
      <c r="B9" s="485" t="s">
        <v>423</v>
      </c>
      <c r="C9" s="358">
        <f t="shared" si="1"/>
        <v>715</v>
      </c>
      <c r="D9" s="359" t="s">
        <v>244</v>
      </c>
      <c r="E9" s="360">
        <v>5.393606000158E12</v>
      </c>
      <c r="F9" s="361"/>
      <c r="G9" s="454"/>
      <c r="H9" s="454"/>
    </row>
    <row r="10">
      <c r="A10" s="486" t="s">
        <v>234</v>
      </c>
      <c r="B10" s="487" t="s">
        <v>235</v>
      </c>
      <c r="C10" s="351">
        <f t="shared" si="1"/>
        <v>715</v>
      </c>
      <c r="D10" s="367" t="s">
        <v>244</v>
      </c>
      <c r="E10" s="368">
        <v>5.393606000158E12</v>
      </c>
      <c r="F10" s="355"/>
      <c r="G10" s="463"/>
      <c r="H10" s="463"/>
    </row>
    <row r="11">
      <c r="A11" s="488" t="s">
        <v>203</v>
      </c>
      <c r="B11" s="489" t="s">
        <v>204</v>
      </c>
      <c r="C11" s="358">
        <v>0.0</v>
      </c>
      <c r="D11" s="365" t="s">
        <v>244</v>
      </c>
      <c r="E11" s="366">
        <v>5.393606000158E12</v>
      </c>
      <c r="F11" s="361" t="s">
        <v>447</v>
      </c>
      <c r="G11" s="454"/>
      <c r="H11" s="454"/>
    </row>
    <row r="12">
      <c r="A12" s="482" t="s">
        <v>425</v>
      </c>
      <c r="B12" s="490" t="s">
        <v>426</v>
      </c>
      <c r="C12" s="351">
        <f t="shared" ref="C12:C13" si="2">$A$3*$B$3</f>
        <v>715</v>
      </c>
      <c r="D12" s="353" t="s">
        <v>244</v>
      </c>
      <c r="E12" s="354">
        <v>5.393606000158E12</v>
      </c>
      <c r="F12" s="481"/>
      <c r="G12" s="451"/>
      <c r="H12" s="451"/>
    </row>
    <row r="13">
      <c r="A13" s="411" t="s">
        <v>147</v>
      </c>
      <c r="B13" s="491" t="s">
        <v>148</v>
      </c>
      <c r="C13" s="358">
        <f t="shared" si="2"/>
        <v>715</v>
      </c>
      <c r="D13" s="359" t="s">
        <v>244</v>
      </c>
      <c r="E13" s="360">
        <v>5.393606000158E12</v>
      </c>
      <c r="F13" s="361"/>
      <c r="G13" s="454"/>
      <c r="H13" s="454"/>
    </row>
    <row r="14">
      <c r="A14" s="401" t="s">
        <v>61</v>
      </c>
      <c r="B14" s="403" t="s">
        <v>62</v>
      </c>
      <c r="C14" s="351">
        <f>$A$3*7</f>
        <v>227.5</v>
      </c>
      <c r="D14" s="353" t="s">
        <v>244</v>
      </c>
      <c r="E14" s="354">
        <v>5.393606000158E12</v>
      </c>
      <c r="F14" s="355" t="s">
        <v>452</v>
      </c>
      <c r="G14" s="455"/>
      <c r="H14" s="492" t="s">
        <v>453</v>
      </c>
      <c r="I14" s="170"/>
      <c r="J14" s="170"/>
      <c r="K14" s="170"/>
      <c r="L14" s="170"/>
      <c r="M14" s="170"/>
      <c r="N14" s="170"/>
      <c r="O14" s="170"/>
      <c r="P14" s="170"/>
      <c r="Q14" s="170"/>
      <c r="R14" s="170"/>
      <c r="S14" s="170"/>
      <c r="T14" s="170"/>
      <c r="U14" s="170"/>
      <c r="V14" s="170"/>
      <c r="W14" s="170"/>
      <c r="X14" s="170"/>
      <c r="Y14" s="170"/>
      <c r="Z14" s="170"/>
    </row>
    <row r="15">
      <c r="A15" s="488" t="s">
        <v>299</v>
      </c>
      <c r="B15" s="493" t="s">
        <v>321</v>
      </c>
      <c r="C15" s="358">
        <f t="shared" ref="C15:C23" si="3">$A$3*$B$3</f>
        <v>715</v>
      </c>
      <c r="D15" s="359" t="s">
        <v>244</v>
      </c>
      <c r="E15" s="360">
        <v>5.393606000158E12</v>
      </c>
      <c r="F15" s="361"/>
      <c r="G15" s="454"/>
      <c r="H15" s="454"/>
    </row>
    <row r="16">
      <c r="A16" s="486" t="s">
        <v>164</v>
      </c>
      <c r="B16" s="487" t="s">
        <v>165</v>
      </c>
      <c r="C16" s="351">
        <f t="shared" si="3"/>
        <v>715</v>
      </c>
      <c r="D16" s="353" t="s">
        <v>244</v>
      </c>
      <c r="E16" s="354">
        <v>5.393606000158E12</v>
      </c>
      <c r="F16" s="381"/>
      <c r="G16" s="451"/>
      <c r="H16" s="451"/>
    </row>
    <row r="17">
      <c r="A17" s="494" t="s">
        <v>315</v>
      </c>
      <c r="B17" s="485" t="s">
        <v>325</v>
      </c>
      <c r="C17" s="358">
        <f t="shared" si="3"/>
        <v>715</v>
      </c>
      <c r="D17" s="359" t="s">
        <v>244</v>
      </c>
      <c r="E17" s="360">
        <v>5.393606000158E12</v>
      </c>
      <c r="F17" s="423"/>
      <c r="G17" s="469"/>
      <c r="H17" s="469"/>
    </row>
    <row r="18">
      <c r="A18" s="482" t="s">
        <v>430</v>
      </c>
      <c r="B18" s="483" t="s">
        <v>431</v>
      </c>
      <c r="C18" s="351">
        <f t="shared" si="3"/>
        <v>715</v>
      </c>
      <c r="D18" s="353" t="s">
        <v>244</v>
      </c>
      <c r="E18" s="354">
        <v>5.393606000158E12</v>
      </c>
      <c r="F18" s="381"/>
      <c r="G18" s="451"/>
      <c r="H18" s="451"/>
    </row>
    <row r="19">
      <c r="A19" s="484" t="s">
        <v>442</v>
      </c>
      <c r="B19" s="490" t="s">
        <v>454</v>
      </c>
      <c r="C19" s="358">
        <f t="shared" si="3"/>
        <v>715</v>
      </c>
      <c r="D19" s="359" t="s">
        <v>244</v>
      </c>
      <c r="E19" s="360">
        <v>5.393606000158E12</v>
      </c>
      <c r="F19" s="416"/>
      <c r="G19" s="469"/>
      <c r="H19" s="469"/>
    </row>
    <row r="20">
      <c r="A20" s="486" t="s">
        <v>171</v>
      </c>
      <c r="B20" s="483" t="s">
        <v>224</v>
      </c>
      <c r="C20" s="351">
        <f t="shared" si="3"/>
        <v>715</v>
      </c>
      <c r="D20" s="353" t="s">
        <v>244</v>
      </c>
      <c r="E20" s="354">
        <v>5.393606000158E12</v>
      </c>
      <c r="F20" s="381"/>
      <c r="G20" s="451"/>
      <c r="H20" s="451"/>
    </row>
    <row r="21">
      <c r="A21" s="494" t="s">
        <v>167</v>
      </c>
      <c r="B21" s="485" t="s">
        <v>201</v>
      </c>
      <c r="C21" s="358">
        <f t="shared" si="3"/>
        <v>715</v>
      </c>
      <c r="D21" s="359" t="s">
        <v>244</v>
      </c>
      <c r="E21" s="360">
        <v>5.393606000158E12</v>
      </c>
      <c r="F21" s="361"/>
      <c r="G21" s="454"/>
      <c r="H21" s="454"/>
    </row>
    <row r="22">
      <c r="A22" s="482" t="s">
        <v>455</v>
      </c>
      <c r="B22" s="490" t="s">
        <v>456</v>
      </c>
      <c r="C22" s="351">
        <f t="shared" si="3"/>
        <v>715</v>
      </c>
      <c r="D22" s="353" t="s">
        <v>244</v>
      </c>
      <c r="E22" s="354">
        <v>5.393606000158E12</v>
      </c>
      <c r="F22" s="477"/>
      <c r="G22" s="451"/>
      <c r="H22" s="451"/>
    </row>
    <row r="23">
      <c r="A23" s="494" t="s">
        <v>77</v>
      </c>
      <c r="B23" s="489" t="s">
        <v>78</v>
      </c>
      <c r="C23" s="358">
        <f t="shared" si="3"/>
        <v>715</v>
      </c>
      <c r="D23" s="359" t="s">
        <v>244</v>
      </c>
      <c r="E23" s="360">
        <v>5.393606000158E12</v>
      </c>
      <c r="F23" s="495"/>
      <c r="G23" s="469"/>
      <c r="H23" s="469"/>
    </row>
    <row r="24">
      <c r="A24" s="324" t="s">
        <v>288</v>
      </c>
      <c r="B24" s="325"/>
      <c r="C24" s="257">
        <f>SUM(C6:C23)</f>
        <v>11667.5</v>
      </c>
      <c r="D24" s="321"/>
      <c r="E24" s="322"/>
      <c r="F24" s="327"/>
    </row>
    <row r="25">
      <c r="A25" s="328"/>
      <c r="B25" s="329"/>
      <c r="C25" s="330"/>
      <c r="D25" s="331"/>
      <c r="E25" s="331"/>
      <c r="F25" s="332"/>
      <c r="G25" s="287"/>
    </row>
    <row r="26">
      <c r="A26" s="333"/>
      <c r="B26" s="333"/>
      <c r="C26" s="334"/>
      <c r="D26" s="262"/>
      <c r="E26" s="262"/>
      <c r="F26" s="262"/>
      <c r="G26" s="170"/>
      <c r="H26" s="170"/>
      <c r="I26" s="170"/>
      <c r="J26" s="170"/>
      <c r="K26" s="170"/>
      <c r="L26" s="170"/>
      <c r="M26" s="170"/>
      <c r="N26" s="170"/>
      <c r="O26" s="170"/>
      <c r="P26" s="170"/>
      <c r="Q26" s="170"/>
      <c r="R26" s="170"/>
      <c r="S26" s="170"/>
      <c r="T26" s="170"/>
      <c r="U26" s="170"/>
      <c r="V26" s="170"/>
      <c r="W26" s="170"/>
      <c r="X26" s="170"/>
      <c r="Y26" s="170"/>
      <c r="Z26" s="170"/>
    </row>
    <row r="27">
      <c r="A27" s="333"/>
      <c r="C27" s="334"/>
      <c r="D27" s="262"/>
      <c r="E27" s="262"/>
      <c r="F27" s="262"/>
      <c r="G27" s="170"/>
      <c r="H27" s="170"/>
      <c r="I27" s="170"/>
      <c r="J27" s="170"/>
      <c r="K27" s="170"/>
      <c r="L27" s="170"/>
      <c r="M27" s="170"/>
      <c r="N27" s="170"/>
      <c r="O27" s="170"/>
      <c r="P27" s="170"/>
      <c r="Q27" s="170"/>
      <c r="R27" s="170"/>
      <c r="S27" s="170"/>
      <c r="T27" s="170"/>
      <c r="U27" s="170"/>
      <c r="V27" s="170"/>
      <c r="W27" s="170"/>
      <c r="X27" s="170"/>
      <c r="Y27" s="170"/>
      <c r="Z27" s="170"/>
    </row>
    <row r="28">
      <c r="A28" s="203" t="s">
        <v>3</v>
      </c>
      <c r="F28" s="15"/>
      <c r="G28" s="170"/>
      <c r="H28" s="170"/>
      <c r="I28" s="170"/>
      <c r="J28" s="170"/>
      <c r="K28" s="170"/>
      <c r="L28" s="170"/>
      <c r="M28" s="170"/>
      <c r="N28" s="170"/>
      <c r="O28" s="170"/>
      <c r="P28" s="170"/>
      <c r="Q28" s="170"/>
      <c r="R28" s="170"/>
      <c r="S28" s="170"/>
      <c r="T28" s="170"/>
      <c r="U28" s="170"/>
      <c r="V28" s="170"/>
      <c r="W28" s="170"/>
      <c r="X28" s="170"/>
      <c r="Y28" s="170"/>
      <c r="Z28" s="170"/>
    </row>
    <row r="29">
      <c r="A29" s="225" t="s">
        <v>188</v>
      </c>
      <c r="B29" s="211"/>
      <c r="C29" s="211"/>
      <c r="D29" s="211"/>
      <c r="E29" s="211"/>
      <c r="F29" s="91"/>
      <c r="G29" s="170"/>
      <c r="H29" s="170"/>
      <c r="I29" s="170"/>
      <c r="J29" s="170"/>
      <c r="K29" s="170"/>
      <c r="L29" s="170"/>
      <c r="M29" s="170"/>
      <c r="N29" s="170"/>
      <c r="O29" s="170"/>
      <c r="P29" s="170"/>
      <c r="Q29" s="170"/>
      <c r="R29" s="170"/>
      <c r="S29" s="170"/>
      <c r="T29" s="170"/>
      <c r="U29" s="170"/>
      <c r="V29" s="170"/>
      <c r="W29" s="170"/>
      <c r="X29" s="170"/>
      <c r="Y29" s="170"/>
      <c r="Z29" s="170"/>
    </row>
    <row r="30" ht="26.25" customHeight="1">
      <c r="A30" s="227">
        <v>32.5</v>
      </c>
      <c r="B30" s="228">
        <v>22.0</v>
      </c>
      <c r="C30" s="229" t="s">
        <v>21</v>
      </c>
      <c r="D30" s="230" t="s">
        <v>117</v>
      </c>
      <c r="E30" s="230"/>
      <c r="F30" s="5"/>
      <c r="G30" s="170"/>
      <c r="H30" s="170"/>
      <c r="I30" s="170"/>
      <c r="J30" s="170"/>
      <c r="K30" s="170"/>
      <c r="L30" s="170"/>
      <c r="M30" s="170"/>
      <c r="N30" s="170"/>
      <c r="O30" s="170"/>
      <c r="P30" s="170"/>
      <c r="Q30" s="170"/>
      <c r="R30" s="170"/>
      <c r="S30" s="170"/>
      <c r="T30" s="170"/>
      <c r="U30" s="170"/>
      <c r="V30" s="170"/>
      <c r="W30" s="170"/>
      <c r="X30" s="170"/>
      <c r="Y30" s="170"/>
      <c r="Z30" s="170"/>
    </row>
    <row r="31" ht="44.25" customHeight="1">
      <c r="A31" s="232" t="s">
        <v>444</v>
      </c>
      <c r="B31" s="211"/>
      <c r="C31" s="211"/>
      <c r="D31" s="91"/>
      <c r="E31" s="277" t="s">
        <v>445</v>
      </c>
      <c r="F31" s="335" t="s">
        <v>24</v>
      </c>
      <c r="G31" s="170"/>
      <c r="H31" s="170"/>
      <c r="I31" s="170"/>
      <c r="J31" s="170"/>
      <c r="K31" s="170"/>
      <c r="L31" s="170"/>
      <c r="M31" s="170"/>
      <c r="N31" s="170"/>
      <c r="O31" s="170"/>
      <c r="P31" s="170"/>
      <c r="Q31" s="170"/>
      <c r="R31" s="170"/>
      <c r="S31" s="170"/>
      <c r="T31" s="170"/>
      <c r="U31" s="170"/>
      <c r="V31" s="170"/>
      <c r="W31" s="170"/>
      <c r="X31" s="170"/>
      <c r="Y31" s="170"/>
      <c r="Z31" s="170"/>
    </row>
    <row r="32" ht="44.25" customHeight="1">
      <c r="A32" s="264" t="s">
        <v>176</v>
      </c>
      <c r="B32" s="265" t="s">
        <v>26</v>
      </c>
      <c r="C32" s="265" t="s">
        <v>119</v>
      </c>
      <c r="D32" s="235" t="s">
        <v>220</v>
      </c>
      <c r="E32" s="278" t="s">
        <v>253</v>
      </c>
      <c r="F32" s="336" t="s">
        <v>28</v>
      </c>
      <c r="G32" s="170"/>
      <c r="H32" s="170"/>
      <c r="I32" s="170"/>
      <c r="J32" s="170"/>
      <c r="K32" s="170"/>
      <c r="L32" s="170"/>
      <c r="M32" s="170"/>
      <c r="N32" s="170"/>
      <c r="O32" s="170"/>
      <c r="P32" s="170"/>
      <c r="Q32" s="170"/>
      <c r="R32" s="170"/>
      <c r="S32" s="170"/>
      <c r="T32" s="170"/>
      <c r="U32" s="170"/>
      <c r="V32" s="170"/>
      <c r="W32" s="170"/>
      <c r="X32" s="170"/>
      <c r="Y32" s="170"/>
      <c r="Z32" s="170"/>
    </row>
    <row r="33">
      <c r="A33" s="386" t="s">
        <v>248</v>
      </c>
      <c r="B33" s="387" t="s">
        <v>239</v>
      </c>
      <c r="C33" s="496">
        <f t="shared" ref="C33:C39" si="4">$A$30*$B$3</f>
        <v>715</v>
      </c>
      <c r="D33" s="389" t="s">
        <v>244</v>
      </c>
      <c r="E33" s="390">
        <v>5.2803025000127E13</v>
      </c>
      <c r="F33" s="391"/>
      <c r="G33" s="170"/>
      <c r="H33" s="170"/>
      <c r="I33" s="170"/>
      <c r="J33" s="170"/>
      <c r="K33" s="170"/>
      <c r="L33" s="170"/>
      <c r="M33" s="170"/>
      <c r="N33" s="170"/>
      <c r="O33" s="170"/>
      <c r="P33" s="170"/>
      <c r="Q33" s="170"/>
      <c r="R33" s="170"/>
      <c r="S33" s="170"/>
      <c r="T33" s="170"/>
      <c r="U33" s="170"/>
      <c r="V33" s="170"/>
      <c r="W33" s="170"/>
      <c r="X33" s="170"/>
      <c r="Y33" s="170"/>
      <c r="Z33" s="170"/>
    </row>
    <row r="34">
      <c r="A34" s="392" t="s">
        <v>363</v>
      </c>
      <c r="B34" s="387" t="s">
        <v>364</v>
      </c>
      <c r="C34" s="496">
        <f t="shared" si="4"/>
        <v>715</v>
      </c>
      <c r="D34" s="389" t="s">
        <v>244</v>
      </c>
      <c r="E34" s="390">
        <v>5.2803025000127E13</v>
      </c>
      <c r="F34" s="450"/>
    </row>
    <row r="35">
      <c r="A35" s="392" t="s">
        <v>249</v>
      </c>
      <c r="B35" s="393" t="s">
        <v>250</v>
      </c>
      <c r="C35" s="496">
        <f t="shared" si="4"/>
        <v>715</v>
      </c>
      <c r="D35" s="396" t="s">
        <v>244</v>
      </c>
      <c r="E35" s="397">
        <v>5.2803025000127E13</v>
      </c>
      <c r="F35" s="478"/>
    </row>
    <row r="36">
      <c r="A36" s="400" t="s">
        <v>80</v>
      </c>
      <c r="B36" s="402" t="s">
        <v>81</v>
      </c>
      <c r="C36" s="496">
        <f t="shared" si="4"/>
        <v>715</v>
      </c>
      <c r="D36" s="396" t="s">
        <v>244</v>
      </c>
      <c r="E36" s="397">
        <v>5.2803025000127E13</v>
      </c>
      <c r="F36" s="480"/>
    </row>
    <row r="37">
      <c r="A37" s="400" t="s">
        <v>59</v>
      </c>
      <c r="B37" s="402" t="s">
        <v>60</v>
      </c>
      <c r="C37" s="496">
        <f t="shared" si="4"/>
        <v>715</v>
      </c>
      <c r="D37" s="396" t="s">
        <v>244</v>
      </c>
      <c r="E37" s="397">
        <v>5.2803025000127E13</v>
      </c>
      <c r="F37" s="405" t="s">
        <v>459</v>
      </c>
    </row>
    <row r="38">
      <c r="A38" s="386" t="s">
        <v>394</v>
      </c>
      <c r="B38" s="389" t="s">
        <v>395</v>
      </c>
      <c r="C38" s="496">
        <f t="shared" si="4"/>
        <v>715</v>
      </c>
      <c r="D38" s="396" t="s">
        <v>244</v>
      </c>
      <c r="E38" s="397">
        <v>5.2803025000127E13</v>
      </c>
      <c r="F38" s="450"/>
    </row>
    <row r="39">
      <c r="A39" s="406" t="s">
        <v>134</v>
      </c>
      <c r="B39" s="389" t="s">
        <v>135</v>
      </c>
      <c r="C39" s="496">
        <f t="shared" si="4"/>
        <v>715</v>
      </c>
      <c r="D39" s="389" t="s">
        <v>244</v>
      </c>
      <c r="E39" s="390">
        <v>5.2803025000127E13</v>
      </c>
      <c r="F39" s="478"/>
    </row>
    <row r="40">
      <c r="A40" s="249"/>
      <c r="B40" s="251"/>
      <c r="C40" s="268"/>
      <c r="D40" s="270"/>
      <c r="E40" s="281"/>
      <c r="F40" s="348"/>
    </row>
    <row r="41">
      <c r="A41" s="290" t="s">
        <v>288</v>
      </c>
      <c r="B41" s="290"/>
      <c r="C41" s="257">
        <f>SUM(C33:C39)</f>
        <v>5005</v>
      </c>
      <c r="D41" s="218"/>
      <c r="E41" s="218"/>
      <c r="F41" s="218"/>
    </row>
    <row r="44">
      <c r="A44" s="203" t="s">
        <v>3</v>
      </c>
      <c r="F44" s="15"/>
    </row>
    <row r="45">
      <c r="A45" s="225" t="s">
        <v>460</v>
      </c>
      <c r="B45" s="211"/>
      <c r="C45" s="211"/>
      <c r="D45" s="211"/>
      <c r="E45" s="211"/>
      <c r="F45" s="91"/>
    </row>
    <row r="46">
      <c r="A46" s="227">
        <v>32.5</v>
      </c>
      <c r="B46" s="228">
        <v>22.0</v>
      </c>
      <c r="C46" s="229" t="s">
        <v>21</v>
      </c>
      <c r="D46" s="230" t="s">
        <v>117</v>
      </c>
      <c r="E46" s="230"/>
      <c r="F46" s="5"/>
    </row>
    <row r="47">
      <c r="A47" s="232" t="s">
        <v>444</v>
      </c>
      <c r="B47" s="211"/>
      <c r="C47" s="211"/>
      <c r="D47" s="91"/>
      <c r="E47" s="277" t="s">
        <v>445</v>
      </c>
      <c r="F47" s="335" t="s">
        <v>24</v>
      </c>
    </row>
    <row r="48">
      <c r="A48" s="264" t="s">
        <v>176</v>
      </c>
      <c r="B48" s="265" t="s">
        <v>26</v>
      </c>
      <c r="C48" s="265" t="s">
        <v>119</v>
      </c>
      <c r="D48" s="235" t="s">
        <v>220</v>
      </c>
      <c r="E48" s="278" t="s">
        <v>253</v>
      </c>
      <c r="F48" s="336" t="s">
        <v>28</v>
      </c>
    </row>
    <row r="49">
      <c r="A49" s="392" t="s">
        <v>443</v>
      </c>
      <c r="B49" s="387" t="s">
        <v>461</v>
      </c>
      <c r="C49" s="496">
        <f t="shared" ref="C49:C50" si="5">$A$46*$B$3</f>
        <v>715</v>
      </c>
      <c r="D49" s="389" t="s">
        <v>244</v>
      </c>
      <c r="E49" s="390">
        <v>2.6509080000107E13</v>
      </c>
      <c r="F49" s="391"/>
    </row>
    <row r="50">
      <c r="A50" s="497" t="s">
        <v>462</v>
      </c>
      <c r="B50" s="498" t="s">
        <v>463</v>
      </c>
      <c r="C50" s="496">
        <f t="shared" si="5"/>
        <v>715</v>
      </c>
      <c r="D50" s="389" t="s">
        <v>244</v>
      </c>
      <c r="E50" s="390">
        <v>2.6509080000107E13</v>
      </c>
      <c r="F50" s="450"/>
    </row>
    <row r="51">
      <c r="A51" s="392"/>
      <c r="B51" s="387"/>
      <c r="C51" s="388"/>
      <c r="D51" s="389"/>
      <c r="E51" s="390"/>
      <c r="F51" s="450"/>
    </row>
    <row r="52">
      <c r="A52" s="392"/>
      <c r="B52" s="393"/>
      <c r="C52" s="388"/>
      <c r="D52" s="396"/>
      <c r="E52" s="397"/>
      <c r="F52" s="478"/>
    </row>
    <row r="53">
      <c r="A53" s="400"/>
      <c r="B53" s="402"/>
      <c r="C53" s="388"/>
      <c r="D53" s="396"/>
      <c r="E53" s="397"/>
      <c r="F53" s="480"/>
    </row>
    <row r="54">
      <c r="A54" s="400"/>
      <c r="B54" s="402"/>
      <c r="C54" s="388"/>
      <c r="D54" s="396"/>
      <c r="E54" s="397"/>
      <c r="F54" s="405"/>
    </row>
    <row r="55">
      <c r="A55" s="386"/>
      <c r="B55" s="389"/>
      <c r="C55" s="388"/>
      <c r="D55" s="396"/>
      <c r="E55" s="397"/>
      <c r="F55" s="450"/>
    </row>
    <row r="56">
      <c r="A56" s="406"/>
      <c r="B56" s="410"/>
      <c r="C56" s="388"/>
      <c r="D56" s="389"/>
      <c r="E56" s="390"/>
      <c r="F56" s="478"/>
    </row>
    <row r="57">
      <c r="A57" s="392"/>
      <c r="B57" s="393"/>
      <c r="C57" s="388"/>
      <c r="D57" s="389"/>
      <c r="E57" s="390"/>
      <c r="F57" s="400"/>
    </row>
    <row r="58">
      <c r="A58" s="249"/>
      <c r="B58" s="251"/>
      <c r="C58" s="268"/>
      <c r="D58" s="270"/>
      <c r="E58" s="281"/>
      <c r="F58" s="348"/>
    </row>
    <row r="59">
      <c r="A59" s="290" t="s">
        <v>288</v>
      </c>
      <c r="B59" s="290"/>
      <c r="C59" s="257">
        <f>SUM(C49:C57)</f>
        <v>1430</v>
      </c>
      <c r="D59" s="218"/>
      <c r="E59" s="218"/>
      <c r="F59" s="218"/>
    </row>
  </sheetData>
  <autoFilter ref="$A$5:$F$23">
    <sortState ref="A5:F23">
      <sortCondition ref="A5:A23"/>
    </sortState>
  </autoFilter>
  <mergeCells count="10">
    <mergeCell ref="A44:F44"/>
    <mergeCell ref="A45:F45"/>
    <mergeCell ref="A47:D47"/>
    <mergeCell ref="A1:F1"/>
    <mergeCell ref="A2:F2"/>
    <mergeCell ref="A4:D4"/>
    <mergeCell ref="A27:B27"/>
    <mergeCell ref="A28:F28"/>
    <mergeCell ref="A29:F29"/>
    <mergeCell ref="A31:D31"/>
  </mergeCells>
  <printOptions gridLines="1" horizontalCentered="1"/>
  <pageMargins bottom="0.75" footer="0.0" header="0.0" left="0.7" right="0.7" top="0.75"/>
  <pageSetup paperSize="9" cellComments="atEnd" orientation="portrait" pageOrder="overThenDown"/>
  <drawing r:id="rId1"/>
  <tableParts count="2">
    <tablePart r:id="rId4"/>
    <tablePart r:id="rId5"/>
  </tableParts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2.88"/>
    <col customWidth="1" min="2" max="2" width="14.25"/>
    <col customWidth="1" min="3" max="3" width="10.38"/>
    <col customWidth="1" min="4" max="4" width="14.38"/>
    <col customWidth="1" min="5" max="5" width="14.88"/>
    <col customWidth="1" min="6" max="6" width="60.25"/>
  </cols>
  <sheetData>
    <row r="1" ht="21.75" customHeight="1">
      <c r="A1" s="203" t="s">
        <v>3</v>
      </c>
      <c r="F1" s="15"/>
    </row>
    <row r="2">
      <c r="A2" s="225" t="s">
        <v>198</v>
      </c>
      <c r="B2" s="211"/>
      <c r="C2" s="211"/>
      <c r="D2" s="211"/>
      <c r="E2" s="211"/>
      <c r="F2" s="91"/>
      <c r="G2" s="275" t="s">
        <v>173</v>
      </c>
    </row>
    <row r="3" ht="24.0" customHeight="1">
      <c r="A3" s="227">
        <v>32.5</v>
      </c>
      <c r="B3" s="228">
        <v>20.0</v>
      </c>
      <c r="C3" s="229" t="s">
        <v>21</v>
      </c>
      <c r="D3" s="230"/>
      <c r="E3" s="230"/>
      <c r="F3" s="110"/>
      <c r="G3" s="292">
        <f>C24+C41</f>
        <v>15177.5</v>
      </c>
    </row>
    <row r="4" ht="34.5" customHeight="1">
      <c r="A4" s="232" t="s">
        <v>449</v>
      </c>
      <c r="B4" s="211"/>
      <c r="C4" s="211"/>
      <c r="D4" s="91"/>
      <c r="E4" s="277" t="s">
        <v>451</v>
      </c>
      <c r="F4" s="293" t="s">
        <v>24</v>
      </c>
    </row>
    <row r="5" ht="24.75" customHeight="1">
      <c r="A5" s="49" t="s">
        <v>176</v>
      </c>
      <c r="B5" s="50" t="s">
        <v>26</v>
      </c>
      <c r="C5" s="50" t="s">
        <v>119</v>
      </c>
      <c r="D5" s="235" t="s">
        <v>220</v>
      </c>
      <c r="E5" s="278" t="s">
        <v>253</v>
      </c>
      <c r="F5" s="52" t="s">
        <v>28</v>
      </c>
    </row>
    <row r="6">
      <c r="A6" s="349" t="s">
        <v>33</v>
      </c>
      <c r="B6" s="403" t="s">
        <v>34</v>
      </c>
      <c r="C6" s="351">
        <f t="shared" ref="C6:C10" si="1">$A$3*$B$3</f>
        <v>650</v>
      </c>
      <c r="D6" s="353" t="s">
        <v>244</v>
      </c>
      <c r="E6" s="354">
        <v>5.393606000158E12</v>
      </c>
      <c r="F6" s="355"/>
      <c r="G6" s="463"/>
      <c r="H6" s="463"/>
    </row>
    <row r="7">
      <c r="A7" s="373" t="s">
        <v>35</v>
      </c>
      <c r="B7" s="374" t="s">
        <v>36</v>
      </c>
      <c r="C7" s="358">
        <f t="shared" si="1"/>
        <v>650</v>
      </c>
      <c r="D7" s="359" t="s">
        <v>244</v>
      </c>
      <c r="E7" s="360">
        <v>5.393606000158E12</v>
      </c>
      <c r="F7" s="361"/>
      <c r="G7" s="472"/>
      <c r="H7" s="472"/>
      <c r="I7" s="170"/>
      <c r="J7" s="170"/>
      <c r="K7" s="170"/>
      <c r="L7" s="170"/>
      <c r="M7" s="170"/>
      <c r="N7" s="170"/>
      <c r="O7" s="170"/>
      <c r="P7" s="170"/>
      <c r="Q7" s="170"/>
      <c r="R7" s="170"/>
      <c r="S7" s="170"/>
      <c r="T7" s="170"/>
      <c r="U7" s="170"/>
      <c r="V7" s="170"/>
      <c r="W7" s="170"/>
      <c r="X7" s="170"/>
      <c r="Y7" s="170"/>
      <c r="Z7" s="170"/>
    </row>
    <row r="8">
      <c r="A8" s="482" t="s">
        <v>100</v>
      </c>
      <c r="B8" s="483" t="s">
        <v>446</v>
      </c>
      <c r="C8" s="351">
        <f t="shared" si="1"/>
        <v>650</v>
      </c>
      <c r="D8" s="353" t="s">
        <v>244</v>
      </c>
      <c r="E8" s="354">
        <v>5.393606000158E12</v>
      </c>
      <c r="F8" s="355"/>
      <c r="G8" s="463"/>
      <c r="H8" s="463"/>
    </row>
    <row r="9">
      <c r="A9" s="484" t="s">
        <v>422</v>
      </c>
      <c r="B9" s="485" t="s">
        <v>423</v>
      </c>
      <c r="C9" s="358">
        <f t="shared" si="1"/>
        <v>650</v>
      </c>
      <c r="D9" s="359" t="s">
        <v>244</v>
      </c>
      <c r="E9" s="360">
        <v>5.393606000158E12</v>
      </c>
      <c r="F9" s="361"/>
      <c r="G9" s="454"/>
      <c r="H9" s="454"/>
    </row>
    <row r="10">
      <c r="A10" s="486" t="s">
        <v>234</v>
      </c>
      <c r="B10" s="487" t="s">
        <v>235</v>
      </c>
      <c r="C10" s="351">
        <f t="shared" si="1"/>
        <v>650</v>
      </c>
      <c r="D10" s="367" t="s">
        <v>244</v>
      </c>
      <c r="E10" s="368">
        <v>5.393606000158E12</v>
      </c>
      <c r="F10" s="355"/>
      <c r="G10" s="463"/>
      <c r="H10" s="463"/>
    </row>
    <row r="11">
      <c r="A11" s="488" t="s">
        <v>203</v>
      </c>
      <c r="B11" s="489" t="s">
        <v>204</v>
      </c>
      <c r="C11" s="358">
        <v>0.0</v>
      </c>
      <c r="D11" s="365" t="s">
        <v>244</v>
      </c>
      <c r="E11" s="366">
        <v>5.393606000158E12</v>
      </c>
      <c r="F11" s="361" t="s">
        <v>447</v>
      </c>
      <c r="G11" s="454"/>
      <c r="H11" s="454"/>
    </row>
    <row r="12">
      <c r="A12" s="482" t="s">
        <v>425</v>
      </c>
      <c r="B12" s="490" t="s">
        <v>426</v>
      </c>
      <c r="C12" s="351">
        <f t="shared" ref="C12:C23" si="2">$A$3*$B$3</f>
        <v>650</v>
      </c>
      <c r="D12" s="353" t="s">
        <v>244</v>
      </c>
      <c r="E12" s="354">
        <v>5.393606000158E12</v>
      </c>
      <c r="F12" s="481"/>
      <c r="G12" s="451"/>
      <c r="H12" s="451"/>
    </row>
    <row r="13">
      <c r="A13" s="411" t="s">
        <v>147</v>
      </c>
      <c r="B13" s="491" t="s">
        <v>148</v>
      </c>
      <c r="C13" s="358">
        <f t="shared" si="2"/>
        <v>650</v>
      </c>
      <c r="D13" s="359" t="s">
        <v>244</v>
      </c>
      <c r="E13" s="360">
        <v>5.393606000158E12</v>
      </c>
      <c r="F13" s="361"/>
      <c r="G13" s="454"/>
      <c r="H13" s="454"/>
    </row>
    <row r="14">
      <c r="A14" s="401" t="s">
        <v>61</v>
      </c>
      <c r="B14" s="403" t="s">
        <v>62</v>
      </c>
      <c r="C14" s="351">
        <f t="shared" si="2"/>
        <v>650</v>
      </c>
      <c r="D14" s="353" t="s">
        <v>244</v>
      </c>
      <c r="E14" s="354">
        <v>5.393606000158E12</v>
      </c>
      <c r="F14" s="355"/>
      <c r="G14" s="455"/>
      <c r="H14" s="492"/>
      <c r="I14" s="170"/>
      <c r="J14" s="170"/>
      <c r="K14" s="170"/>
      <c r="L14" s="170"/>
      <c r="M14" s="170"/>
      <c r="N14" s="170"/>
      <c r="O14" s="170"/>
      <c r="P14" s="170"/>
      <c r="Q14" s="170"/>
      <c r="R14" s="170"/>
      <c r="S14" s="170"/>
      <c r="T14" s="170"/>
      <c r="U14" s="170"/>
      <c r="V14" s="170"/>
      <c r="W14" s="170"/>
      <c r="X14" s="170"/>
      <c r="Y14" s="170"/>
      <c r="Z14" s="170"/>
    </row>
    <row r="15">
      <c r="A15" s="488" t="s">
        <v>299</v>
      </c>
      <c r="B15" s="493" t="s">
        <v>321</v>
      </c>
      <c r="C15" s="358">
        <f t="shared" si="2"/>
        <v>650</v>
      </c>
      <c r="D15" s="359" t="s">
        <v>244</v>
      </c>
      <c r="E15" s="360">
        <v>5.393606000158E12</v>
      </c>
      <c r="F15" s="361"/>
      <c r="G15" s="454"/>
      <c r="H15" s="454"/>
    </row>
    <row r="16">
      <c r="A16" s="486" t="s">
        <v>164</v>
      </c>
      <c r="B16" s="487" t="s">
        <v>165</v>
      </c>
      <c r="C16" s="351">
        <f t="shared" si="2"/>
        <v>650</v>
      </c>
      <c r="D16" s="353" t="s">
        <v>244</v>
      </c>
      <c r="E16" s="354">
        <v>5.393606000158E12</v>
      </c>
      <c r="F16" s="381"/>
      <c r="G16" s="451"/>
      <c r="H16" s="451"/>
    </row>
    <row r="17">
      <c r="A17" s="494" t="s">
        <v>315</v>
      </c>
      <c r="B17" s="485" t="s">
        <v>325</v>
      </c>
      <c r="C17" s="358">
        <f t="shared" si="2"/>
        <v>650</v>
      </c>
      <c r="D17" s="359" t="s">
        <v>244</v>
      </c>
      <c r="E17" s="360">
        <v>5.393606000158E12</v>
      </c>
      <c r="F17" s="423"/>
      <c r="G17" s="469"/>
      <c r="H17" s="469"/>
    </row>
    <row r="18">
      <c r="A18" s="482" t="s">
        <v>430</v>
      </c>
      <c r="B18" s="483" t="s">
        <v>431</v>
      </c>
      <c r="C18" s="351">
        <f t="shared" si="2"/>
        <v>650</v>
      </c>
      <c r="D18" s="353" t="s">
        <v>244</v>
      </c>
      <c r="E18" s="354">
        <v>5.393606000158E12</v>
      </c>
      <c r="F18" s="381"/>
      <c r="G18" s="451"/>
      <c r="H18" s="451"/>
    </row>
    <row r="19">
      <c r="A19" s="484" t="s">
        <v>442</v>
      </c>
      <c r="B19" s="490" t="s">
        <v>454</v>
      </c>
      <c r="C19" s="358">
        <f t="shared" si="2"/>
        <v>650</v>
      </c>
      <c r="D19" s="359" t="s">
        <v>244</v>
      </c>
      <c r="E19" s="360">
        <v>5.393606000158E12</v>
      </c>
      <c r="F19" s="416"/>
      <c r="G19" s="469"/>
      <c r="H19" s="469"/>
    </row>
    <row r="20">
      <c r="A20" s="486" t="s">
        <v>171</v>
      </c>
      <c r="B20" s="483" t="s">
        <v>224</v>
      </c>
      <c r="C20" s="351">
        <f t="shared" si="2"/>
        <v>650</v>
      </c>
      <c r="D20" s="353" t="s">
        <v>244</v>
      </c>
      <c r="E20" s="354">
        <v>5.393606000158E12</v>
      </c>
      <c r="F20" s="381"/>
      <c r="G20" s="451"/>
      <c r="H20" s="451"/>
    </row>
    <row r="21">
      <c r="A21" s="494" t="s">
        <v>167</v>
      </c>
      <c r="B21" s="485" t="s">
        <v>201</v>
      </c>
      <c r="C21" s="358">
        <f t="shared" si="2"/>
        <v>650</v>
      </c>
      <c r="D21" s="359" t="s">
        <v>244</v>
      </c>
      <c r="E21" s="360">
        <v>5.393606000158E12</v>
      </c>
      <c r="F21" s="361"/>
      <c r="G21" s="454"/>
      <c r="H21" s="454"/>
    </row>
    <row r="22">
      <c r="A22" s="482" t="s">
        <v>455</v>
      </c>
      <c r="B22" s="490" t="s">
        <v>456</v>
      </c>
      <c r="C22" s="351">
        <f t="shared" si="2"/>
        <v>650</v>
      </c>
      <c r="D22" s="353" t="s">
        <v>244</v>
      </c>
      <c r="E22" s="354">
        <v>5.393606000158E12</v>
      </c>
      <c r="F22" s="477"/>
      <c r="G22" s="451"/>
      <c r="H22" s="451"/>
    </row>
    <row r="23">
      <c r="A23" s="494" t="s">
        <v>77</v>
      </c>
      <c r="B23" s="489" t="s">
        <v>78</v>
      </c>
      <c r="C23" s="358">
        <f t="shared" si="2"/>
        <v>650</v>
      </c>
      <c r="D23" s="359" t="s">
        <v>244</v>
      </c>
      <c r="E23" s="360">
        <v>5.393606000158E12</v>
      </c>
      <c r="F23" s="495"/>
      <c r="G23" s="469"/>
      <c r="H23" s="469"/>
    </row>
    <row r="24">
      <c r="A24" s="324" t="s">
        <v>288</v>
      </c>
      <c r="B24" s="325"/>
      <c r="C24" s="257">
        <f>SUM(C6:C23)</f>
        <v>11050</v>
      </c>
      <c r="D24" s="321"/>
      <c r="E24" s="322"/>
      <c r="F24" s="327"/>
    </row>
    <row r="25">
      <c r="A25" s="328"/>
      <c r="B25" s="329"/>
      <c r="C25" s="330"/>
      <c r="D25" s="331"/>
      <c r="E25" s="331"/>
      <c r="F25" s="332"/>
      <c r="G25" s="287"/>
    </row>
    <row r="26">
      <c r="A26" s="333"/>
      <c r="B26" s="333"/>
      <c r="C26" s="334"/>
      <c r="D26" s="262"/>
      <c r="E26" s="262"/>
      <c r="F26" s="262"/>
      <c r="G26" s="170"/>
      <c r="H26" s="170"/>
      <c r="I26" s="170"/>
      <c r="J26" s="170"/>
      <c r="K26" s="170"/>
      <c r="L26" s="170"/>
      <c r="M26" s="170"/>
      <c r="N26" s="170"/>
      <c r="O26" s="170"/>
      <c r="P26" s="170"/>
      <c r="Q26" s="170"/>
      <c r="R26" s="170"/>
      <c r="S26" s="170"/>
      <c r="T26" s="170"/>
      <c r="U26" s="170"/>
      <c r="V26" s="170"/>
      <c r="W26" s="170"/>
      <c r="X26" s="170"/>
      <c r="Y26" s="170"/>
      <c r="Z26" s="170"/>
    </row>
    <row r="27">
      <c r="A27" s="333"/>
      <c r="C27" s="334"/>
      <c r="D27" s="262"/>
      <c r="E27" s="262"/>
      <c r="F27" s="262"/>
      <c r="G27" s="170"/>
      <c r="H27" s="170"/>
      <c r="I27" s="170"/>
      <c r="J27" s="170"/>
      <c r="K27" s="170"/>
      <c r="L27" s="170"/>
      <c r="M27" s="170"/>
      <c r="N27" s="170"/>
      <c r="O27" s="170"/>
      <c r="P27" s="170"/>
      <c r="Q27" s="170"/>
      <c r="R27" s="170"/>
      <c r="S27" s="170"/>
      <c r="T27" s="170"/>
      <c r="U27" s="170"/>
      <c r="V27" s="170"/>
      <c r="W27" s="170"/>
      <c r="X27" s="170"/>
      <c r="Y27" s="170"/>
      <c r="Z27" s="170"/>
    </row>
    <row r="28">
      <c r="A28" s="203" t="s">
        <v>3</v>
      </c>
      <c r="F28" s="15"/>
      <c r="G28" s="170"/>
      <c r="H28" s="170"/>
      <c r="I28" s="170"/>
      <c r="J28" s="170"/>
      <c r="K28" s="170"/>
      <c r="L28" s="170"/>
      <c r="M28" s="170"/>
      <c r="N28" s="170"/>
      <c r="O28" s="170"/>
      <c r="P28" s="170"/>
      <c r="Q28" s="170"/>
      <c r="R28" s="170"/>
      <c r="S28" s="170"/>
      <c r="T28" s="170"/>
      <c r="U28" s="170"/>
      <c r="V28" s="170"/>
      <c r="W28" s="170"/>
      <c r="X28" s="170"/>
      <c r="Y28" s="170"/>
      <c r="Z28" s="170"/>
    </row>
    <row r="29">
      <c r="A29" s="225" t="s">
        <v>188</v>
      </c>
      <c r="B29" s="211"/>
      <c r="C29" s="211"/>
      <c r="D29" s="211"/>
      <c r="E29" s="211"/>
      <c r="F29" s="91"/>
      <c r="G29" s="170"/>
      <c r="H29" s="170"/>
      <c r="I29" s="170"/>
      <c r="J29" s="170"/>
      <c r="K29" s="170"/>
      <c r="L29" s="170"/>
      <c r="M29" s="170"/>
      <c r="N29" s="170"/>
      <c r="O29" s="170"/>
      <c r="P29" s="170"/>
      <c r="Q29" s="170"/>
      <c r="R29" s="170"/>
      <c r="S29" s="170"/>
      <c r="T29" s="170"/>
      <c r="U29" s="170"/>
      <c r="V29" s="170"/>
      <c r="W29" s="170"/>
      <c r="X29" s="170"/>
      <c r="Y29" s="170"/>
      <c r="Z29" s="170"/>
    </row>
    <row r="30" ht="26.25" customHeight="1">
      <c r="A30" s="227">
        <v>32.5</v>
      </c>
      <c r="B30" s="228">
        <v>20.0</v>
      </c>
      <c r="C30" s="229" t="s">
        <v>21</v>
      </c>
      <c r="D30" s="230" t="s">
        <v>117</v>
      </c>
      <c r="E30" s="230"/>
      <c r="F30" s="5"/>
      <c r="G30" s="170"/>
      <c r="H30" s="170"/>
      <c r="I30" s="170"/>
      <c r="J30" s="170"/>
      <c r="K30" s="170"/>
      <c r="L30" s="170"/>
      <c r="M30" s="170"/>
      <c r="N30" s="170"/>
      <c r="O30" s="170"/>
      <c r="P30" s="170"/>
      <c r="Q30" s="170"/>
      <c r="R30" s="170"/>
      <c r="S30" s="170"/>
      <c r="T30" s="170"/>
      <c r="U30" s="170"/>
      <c r="V30" s="170"/>
      <c r="W30" s="170"/>
      <c r="X30" s="170"/>
      <c r="Y30" s="170"/>
      <c r="Z30" s="170"/>
    </row>
    <row r="31" ht="44.25" customHeight="1">
      <c r="A31" s="232" t="s">
        <v>449</v>
      </c>
      <c r="B31" s="211"/>
      <c r="C31" s="211"/>
      <c r="D31" s="91"/>
      <c r="E31" s="277" t="s">
        <v>451</v>
      </c>
      <c r="F31" s="335" t="s">
        <v>24</v>
      </c>
      <c r="G31" s="170"/>
      <c r="H31" s="170"/>
      <c r="I31" s="170"/>
      <c r="J31" s="170"/>
      <c r="K31" s="170"/>
      <c r="L31" s="170"/>
      <c r="M31" s="170"/>
      <c r="N31" s="170"/>
      <c r="O31" s="170"/>
      <c r="P31" s="170"/>
      <c r="Q31" s="170"/>
      <c r="R31" s="170"/>
      <c r="S31" s="170"/>
      <c r="T31" s="170"/>
      <c r="U31" s="170"/>
      <c r="V31" s="170"/>
      <c r="W31" s="170"/>
      <c r="X31" s="170"/>
      <c r="Y31" s="170"/>
      <c r="Z31" s="170"/>
    </row>
    <row r="32" ht="44.25" customHeight="1">
      <c r="A32" s="264" t="s">
        <v>176</v>
      </c>
      <c r="B32" s="265" t="s">
        <v>26</v>
      </c>
      <c r="C32" s="265" t="s">
        <v>119</v>
      </c>
      <c r="D32" s="235" t="s">
        <v>220</v>
      </c>
      <c r="E32" s="278" t="s">
        <v>253</v>
      </c>
      <c r="F32" s="336" t="s">
        <v>28</v>
      </c>
      <c r="G32" s="170"/>
      <c r="H32" s="170"/>
      <c r="I32" s="170"/>
      <c r="J32" s="170"/>
      <c r="K32" s="170"/>
      <c r="L32" s="170"/>
      <c r="M32" s="170"/>
      <c r="N32" s="170"/>
      <c r="O32" s="170"/>
      <c r="P32" s="170"/>
      <c r="Q32" s="170"/>
      <c r="R32" s="170"/>
      <c r="S32" s="170"/>
      <c r="T32" s="170"/>
      <c r="U32" s="170"/>
      <c r="V32" s="170"/>
      <c r="W32" s="170"/>
      <c r="X32" s="170"/>
      <c r="Y32" s="170"/>
      <c r="Z32" s="170"/>
    </row>
    <row r="33">
      <c r="A33" s="386" t="s">
        <v>248</v>
      </c>
      <c r="B33" s="387" t="s">
        <v>239</v>
      </c>
      <c r="C33" s="496">
        <f t="shared" ref="C33:C36" si="3">$A$30*$B$3</f>
        <v>650</v>
      </c>
      <c r="D33" s="389" t="s">
        <v>244</v>
      </c>
      <c r="E33" s="390">
        <v>5.2803025000127E13</v>
      </c>
      <c r="F33" s="391"/>
      <c r="G33" s="170"/>
      <c r="H33" s="170"/>
      <c r="I33" s="170"/>
      <c r="J33" s="170"/>
      <c r="K33" s="170"/>
      <c r="L33" s="170"/>
      <c r="M33" s="170"/>
      <c r="N33" s="170"/>
      <c r="O33" s="170"/>
      <c r="P33" s="170"/>
      <c r="Q33" s="170"/>
      <c r="R33" s="170"/>
      <c r="S33" s="170"/>
      <c r="T33" s="170"/>
      <c r="U33" s="170"/>
      <c r="V33" s="170"/>
      <c r="W33" s="170"/>
      <c r="X33" s="170"/>
      <c r="Y33" s="170"/>
      <c r="Z33" s="170"/>
    </row>
    <row r="34">
      <c r="A34" s="392" t="s">
        <v>363</v>
      </c>
      <c r="B34" s="387" t="s">
        <v>364</v>
      </c>
      <c r="C34" s="496">
        <f t="shared" si="3"/>
        <v>650</v>
      </c>
      <c r="D34" s="389" t="s">
        <v>244</v>
      </c>
      <c r="E34" s="390">
        <v>5.2803025000127E13</v>
      </c>
      <c r="F34" s="450"/>
    </row>
    <row r="35">
      <c r="A35" s="392" t="s">
        <v>249</v>
      </c>
      <c r="B35" s="393" t="s">
        <v>250</v>
      </c>
      <c r="C35" s="496">
        <f t="shared" si="3"/>
        <v>650</v>
      </c>
      <c r="D35" s="396" t="s">
        <v>244</v>
      </c>
      <c r="E35" s="397">
        <v>5.2803025000127E13</v>
      </c>
      <c r="F35" s="478"/>
    </row>
    <row r="36">
      <c r="A36" s="400" t="s">
        <v>80</v>
      </c>
      <c r="B36" s="402" t="s">
        <v>81</v>
      </c>
      <c r="C36" s="496">
        <f t="shared" si="3"/>
        <v>650</v>
      </c>
      <c r="D36" s="396" t="s">
        <v>244</v>
      </c>
      <c r="E36" s="397">
        <v>5.2803025000127E13</v>
      </c>
      <c r="F36" s="480"/>
    </row>
    <row r="37">
      <c r="A37" s="400" t="s">
        <v>59</v>
      </c>
      <c r="B37" s="402" t="s">
        <v>60</v>
      </c>
      <c r="C37" s="496">
        <f>$A$30*7</f>
        <v>227.5</v>
      </c>
      <c r="D37" s="396" t="s">
        <v>244</v>
      </c>
      <c r="E37" s="397">
        <v>5.2803025000127E13</v>
      </c>
      <c r="F37" s="405" t="s">
        <v>465</v>
      </c>
    </row>
    <row r="38">
      <c r="A38" s="386" t="s">
        <v>394</v>
      </c>
      <c r="B38" s="389" t="s">
        <v>395</v>
      </c>
      <c r="C38" s="496">
        <f t="shared" ref="C38:C39" si="4">$A$30*$B$3</f>
        <v>650</v>
      </c>
      <c r="D38" s="396" t="s">
        <v>244</v>
      </c>
      <c r="E38" s="397">
        <v>5.2803025000127E13</v>
      </c>
      <c r="F38" s="450"/>
    </row>
    <row r="39">
      <c r="A39" s="406" t="s">
        <v>134</v>
      </c>
      <c r="B39" s="389" t="s">
        <v>135</v>
      </c>
      <c r="C39" s="496">
        <f t="shared" si="4"/>
        <v>650</v>
      </c>
      <c r="D39" s="389" t="s">
        <v>244</v>
      </c>
      <c r="E39" s="390">
        <v>5.2803025000127E13</v>
      </c>
      <c r="F39" s="478"/>
    </row>
    <row r="40">
      <c r="A40" s="249"/>
      <c r="B40" s="251"/>
      <c r="C40" s="268"/>
      <c r="D40" s="270"/>
      <c r="E40" s="281"/>
      <c r="F40" s="348"/>
    </row>
    <row r="41">
      <c r="A41" s="290" t="s">
        <v>288</v>
      </c>
      <c r="B41" s="290"/>
      <c r="C41" s="257">
        <f>SUM(C33:C39)</f>
        <v>4127.5</v>
      </c>
      <c r="D41" s="218"/>
      <c r="E41" s="218"/>
      <c r="F41" s="218"/>
    </row>
    <row r="44">
      <c r="A44" s="203" t="s">
        <v>3</v>
      </c>
      <c r="F44" s="15"/>
    </row>
    <row r="45">
      <c r="A45" s="225" t="s">
        <v>460</v>
      </c>
      <c r="B45" s="211"/>
      <c r="C45" s="211"/>
      <c r="D45" s="211"/>
      <c r="E45" s="211"/>
      <c r="F45" s="91"/>
    </row>
    <row r="46">
      <c r="A46" s="227">
        <v>32.5</v>
      </c>
      <c r="B46" s="228">
        <v>20.0</v>
      </c>
      <c r="C46" s="229" t="s">
        <v>21</v>
      </c>
      <c r="D46" s="230" t="s">
        <v>117</v>
      </c>
      <c r="E46" s="230"/>
      <c r="F46" s="5"/>
    </row>
    <row r="47">
      <c r="A47" s="232" t="s">
        <v>449</v>
      </c>
      <c r="B47" s="211"/>
      <c r="C47" s="211"/>
      <c r="D47" s="91"/>
      <c r="E47" s="277" t="s">
        <v>451</v>
      </c>
      <c r="F47" s="335" t="s">
        <v>24</v>
      </c>
    </row>
    <row r="48">
      <c r="A48" s="264" t="s">
        <v>176</v>
      </c>
      <c r="B48" s="265" t="s">
        <v>26</v>
      </c>
      <c r="C48" s="265" t="s">
        <v>119</v>
      </c>
      <c r="D48" s="235" t="s">
        <v>220</v>
      </c>
      <c r="E48" s="278" t="s">
        <v>253</v>
      </c>
      <c r="F48" s="336" t="s">
        <v>28</v>
      </c>
    </row>
    <row r="49">
      <c r="A49" s="392" t="s">
        <v>443</v>
      </c>
      <c r="B49" s="387" t="s">
        <v>461</v>
      </c>
      <c r="C49" s="496">
        <f t="shared" ref="C49:C50" si="5">$A$46*$B$3</f>
        <v>650</v>
      </c>
      <c r="D49" s="389" t="s">
        <v>244</v>
      </c>
      <c r="E49" s="390" t="s">
        <v>466</v>
      </c>
      <c r="F49" s="391"/>
    </row>
    <row r="50">
      <c r="A50" s="392" t="s">
        <v>462</v>
      </c>
      <c r="B50" s="499" t="s">
        <v>463</v>
      </c>
      <c r="C50" s="496">
        <f t="shared" si="5"/>
        <v>650</v>
      </c>
      <c r="D50" s="389" t="s">
        <v>244</v>
      </c>
      <c r="E50" s="390" t="s">
        <v>466</v>
      </c>
      <c r="F50" s="450"/>
    </row>
    <row r="51">
      <c r="A51" s="392"/>
      <c r="B51" s="387"/>
      <c r="C51" s="388"/>
      <c r="D51" s="389"/>
      <c r="E51" s="390"/>
      <c r="F51" s="450"/>
    </row>
    <row r="52">
      <c r="A52" s="392"/>
      <c r="B52" s="393"/>
      <c r="C52" s="388"/>
      <c r="D52" s="396"/>
      <c r="E52" s="397"/>
      <c r="F52" s="478"/>
    </row>
    <row r="53">
      <c r="A53" s="400"/>
      <c r="B53" s="402"/>
      <c r="C53" s="388"/>
      <c r="D53" s="396"/>
      <c r="E53" s="397"/>
      <c r="F53" s="480"/>
    </row>
    <row r="54">
      <c r="A54" s="400"/>
      <c r="B54" s="402"/>
      <c r="C54" s="388"/>
      <c r="D54" s="396"/>
      <c r="E54" s="397"/>
      <c r="F54" s="405"/>
    </row>
    <row r="55">
      <c r="A55" s="386"/>
      <c r="B55" s="389"/>
      <c r="C55" s="388"/>
      <c r="D55" s="396"/>
      <c r="E55" s="397"/>
      <c r="F55" s="450"/>
    </row>
    <row r="56">
      <c r="A56" s="406"/>
      <c r="B56" s="410"/>
      <c r="C56" s="388"/>
      <c r="D56" s="389"/>
      <c r="E56" s="390"/>
      <c r="F56" s="478"/>
    </row>
    <row r="57">
      <c r="A57" s="392"/>
      <c r="B57" s="393"/>
      <c r="C57" s="388"/>
      <c r="D57" s="389"/>
      <c r="E57" s="390"/>
      <c r="F57" s="400"/>
    </row>
    <row r="58">
      <c r="A58" s="249"/>
      <c r="B58" s="251"/>
      <c r="C58" s="268"/>
      <c r="D58" s="270"/>
      <c r="E58" s="281"/>
      <c r="F58" s="348"/>
    </row>
    <row r="59">
      <c r="A59" s="290" t="s">
        <v>288</v>
      </c>
      <c r="B59" s="290"/>
      <c r="C59" s="257">
        <f>SUM(C49:C57)</f>
        <v>1300</v>
      </c>
      <c r="D59" s="218"/>
      <c r="E59" s="218"/>
      <c r="F59" s="218"/>
    </row>
  </sheetData>
  <autoFilter ref="$A$5:$F$23">
    <sortState ref="A5:F23">
      <sortCondition ref="A5:A23"/>
    </sortState>
  </autoFilter>
  <mergeCells count="10">
    <mergeCell ref="A44:F44"/>
    <mergeCell ref="A45:F45"/>
    <mergeCell ref="A47:D47"/>
    <mergeCell ref="A1:F1"/>
    <mergeCell ref="A2:F2"/>
    <mergeCell ref="A4:D4"/>
    <mergeCell ref="A27:B27"/>
    <mergeCell ref="A28:F28"/>
    <mergeCell ref="A29:F29"/>
    <mergeCell ref="A31:D31"/>
  </mergeCells>
  <printOptions gridLines="1" horizontalCentered="1"/>
  <pageMargins bottom="0.75" footer="0.0" header="0.0" left="0.7" right="0.7" top="0.75"/>
  <pageSetup paperSize="9" cellComments="atEnd" orientation="portrait" pageOrder="overThenDown"/>
  <drawing r:id="rId1"/>
  <tableParts count="2">
    <tablePart r:id="rId4"/>
    <tablePart r:id="rId5"/>
  </tableParts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2.88"/>
    <col customWidth="1" min="2" max="2" width="14.25"/>
    <col customWidth="1" min="3" max="3" width="10.38"/>
    <col customWidth="1" min="4" max="4" width="14.38"/>
    <col customWidth="1" min="5" max="5" width="14.88"/>
    <col customWidth="1" min="6" max="6" width="60.25"/>
  </cols>
  <sheetData>
    <row r="1" ht="21.75" customHeight="1">
      <c r="A1" s="203" t="s">
        <v>3</v>
      </c>
      <c r="F1" s="15"/>
    </row>
    <row r="2">
      <c r="A2" s="225" t="s">
        <v>198</v>
      </c>
      <c r="B2" s="211"/>
      <c r="C2" s="211"/>
      <c r="D2" s="211"/>
      <c r="E2" s="211"/>
      <c r="F2" s="91"/>
      <c r="G2" s="275" t="s">
        <v>173</v>
      </c>
    </row>
    <row r="3" ht="24.0" customHeight="1">
      <c r="A3" s="227">
        <v>32.5</v>
      </c>
      <c r="B3" s="228">
        <v>20.0</v>
      </c>
      <c r="C3" s="229" t="s">
        <v>21</v>
      </c>
      <c r="D3" s="230"/>
      <c r="E3" s="230"/>
      <c r="F3" s="110"/>
      <c r="G3" s="292">
        <f>C24+C41</f>
        <v>15015</v>
      </c>
    </row>
    <row r="4" ht="34.5" customHeight="1">
      <c r="A4" s="232" t="s">
        <v>448</v>
      </c>
      <c r="B4" s="211"/>
      <c r="C4" s="211"/>
      <c r="D4" s="91"/>
      <c r="E4" s="277" t="s">
        <v>450</v>
      </c>
      <c r="F4" s="293" t="s">
        <v>24</v>
      </c>
    </row>
    <row r="5" ht="24.75" customHeight="1">
      <c r="A5" s="49" t="s">
        <v>176</v>
      </c>
      <c r="B5" s="50" t="s">
        <v>26</v>
      </c>
      <c r="C5" s="50" t="s">
        <v>119</v>
      </c>
      <c r="D5" s="235" t="s">
        <v>220</v>
      </c>
      <c r="E5" s="278" t="s">
        <v>253</v>
      </c>
      <c r="F5" s="52" t="s">
        <v>28</v>
      </c>
    </row>
    <row r="6">
      <c r="A6" s="349" t="s">
        <v>33</v>
      </c>
      <c r="B6" s="403" t="s">
        <v>34</v>
      </c>
      <c r="C6" s="351">
        <f t="shared" ref="C6:C19" si="1">$A$3*$B$3</f>
        <v>650</v>
      </c>
      <c r="D6" s="353" t="s">
        <v>244</v>
      </c>
      <c r="E6" s="354">
        <v>5.393606000158E12</v>
      </c>
      <c r="F6" s="355"/>
      <c r="G6" s="463"/>
      <c r="H6" s="463"/>
    </row>
    <row r="7">
      <c r="A7" s="373" t="s">
        <v>35</v>
      </c>
      <c r="B7" s="374" t="s">
        <v>36</v>
      </c>
      <c r="C7" s="358">
        <f t="shared" si="1"/>
        <v>650</v>
      </c>
      <c r="D7" s="359" t="s">
        <v>244</v>
      </c>
      <c r="E7" s="360">
        <v>5.393606000158E12</v>
      </c>
      <c r="F7" s="361"/>
      <c r="G7" s="472"/>
      <c r="H7" s="472"/>
      <c r="I7" s="170"/>
      <c r="J7" s="170"/>
      <c r="K7" s="170"/>
      <c r="L7" s="170"/>
      <c r="M7" s="170"/>
      <c r="N7" s="170"/>
      <c r="O7" s="170"/>
      <c r="P7" s="170"/>
      <c r="Q7" s="170"/>
      <c r="R7" s="170"/>
      <c r="S7" s="170"/>
      <c r="T7" s="170"/>
      <c r="U7" s="170"/>
      <c r="V7" s="170"/>
      <c r="W7" s="170"/>
      <c r="X7" s="170"/>
      <c r="Y7" s="170"/>
      <c r="Z7" s="170"/>
    </row>
    <row r="8">
      <c r="A8" s="482" t="s">
        <v>100</v>
      </c>
      <c r="B8" s="483" t="s">
        <v>446</v>
      </c>
      <c r="C8" s="351">
        <f t="shared" si="1"/>
        <v>650</v>
      </c>
      <c r="D8" s="353" t="s">
        <v>244</v>
      </c>
      <c r="E8" s="354">
        <v>5.393606000158E12</v>
      </c>
      <c r="F8" s="355"/>
      <c r="G8" s="463"/>
      <c r="H8" s="463"/>
    </row>
    <row r="9">
      <c r="A9" s="484" t="s">
        <v>422</v>
      </c>
      <c r="B9" s="485" t="s">
        <v>423</v>
      </c>
      <c r="C9" s="358">
        <f t="shared" si="1"/>
        <v>650</v>
      </c>
      <c r="D9" s="359" t="s">
        <v>244</v>
      </c>
      <c r="E9" s="360">
        <v>5.393606000158E12</v>
      </c>
      <c r="F9" s="361"/>
      <c r="G9" s="454"/>
      <c r="H9" s="454"/>
    </row>
    <row r="10">
      <c r="A10" s="486" t="s">
        <v>234</v>
      </c>
      <c r="B10" s="487" t="s">
        <v>235</v>
      </c>
      <c r="C10" s="351">
        <f t="shared" si="1"/>
        <v>650</v>
      </c>
      <c r="D10" s="367" t="s">
        <v>244</v>
      </c>
      <c r="E10" s="368">
        <v>5.393606000158E12</v>
      </c>
      <c r="F10" s="355"/>
      <c r="G10" s="463"/>
      <c r="H10" s="463"/>
    </row>
    <row r="11">
      <c r="A11" s="488" t="s">
        <v>203</v>
      </c>
      <c r="B11" s="489" t="s">
        <v>204</v>
      </c>
      <c r="C11" s="358">
        <f t="shared" si="1"/>
        <v>650</v>
      </c>
      <c r="D11" s="365" t="s">
        <v>244</v>
      </c>
      <c r="E11" s="366">
        <v>5.393606000158E12</v>
      </c>
      <c r="F11" s="361" t="s">
        <v>457</v>
      </c>
      <c r="G11" s="454"/>
      <c r="H11" s="454"/>
    </row>
    <row r="12">
      <c r="A12" s="482" t="s">
        <v>425</v>
      </c>
      <c r="B12" s="490" t="s">
        <v>426</v>
      </c>
      <c r="C12" s="351">
        <f t="shared" si="1"/>
        <v>650</v>
      </c>
      <c r="D12" s="353" t="s">
        <v>244</v>
      </c>
      <c r="E12" s="354">
        <v>5.393606000158E12</v>
      </c>
      <c r="F12" s="481"/>
      <c r="G12" s="451"/>
      <c r="H12" s="451"/>
    </row>
    <row r="13">
      <c r="A13" s="411" t="s">
        <v>147</v>
      </c>
      <c r="B13" s="491" t="s">
        <v>148</v>
      </c>
      <c r="C13" s="358">
        <f t="shared" si="1"/>
        <v>650</v>
      </c>
      <c r="D13" s="359" t="s">
        <v>244</v>
      </c>
      <c r="E13" s="360">
        <v>5.393606000158E12</v>
      </c>
      <c r="F13" s="361"/>
      <c r="G13" s="454"/>
      <c r="H13" s="454"/>
    </row>
    <row r="14">
      <c r="A14" s="401" t="s">
        <v>61</v>
      </c>
      <c r="B14" s="403" t="s">
        <v>62</v>
      </c>
      <c r="C14" s="351">
        <f t="shared" si="1"/>
        <v>650</v>
      </c>
      <c r="D14" s="353" t="s">
        <v>244</v>
      </c>
      <c r="E14" s="354">
        <v>5.393606000158E12</v>
      </c>
      <c r="F14" s="355"/>
      <c r="G14" s="455"/>
      <c r="H14" s="492"/>
      <c r="I14" s="170"/>
      <c r="J14" s="170"/>
      <c r="K14" s="170"/>
      <c r="L14" s="170"/>
      <c r="M14" s="170"/>
      <c r="N14" s="170"/>
      <c r="O14" s="170"/>
      <c r="P14" s="170"/>
      <c r="Q14" s="170"/>
      <c r="R14" s="170"/>
      <c r="S14" s="170"/>
      <c r="T14" s="170"/>
      <c r="U14" s="170"/>
      <c r="V14" s="170"/>
      <c r="W14" s="170"/>
      <c r="X14" s="170"/>
      <c r="Y14" s="170"/>
      <c r="Z14" s="170"/>
    </row>
    <row r="15">
      <c r="A15" s="488" t="s">
        <v>299</v>
      </c>
      <c r="B15" s="493" t="s">
        <v>321</v>
      </c>
      <c r="C15" s="358">
        <f t="shared" si="1"/>
        <v>650</v>
      </c>
      <c r="D15" s="359" t="s">
        <v>244</v>
      </c>
      <c r="E15" s="360">
        <v>5.393606000158E12</v>
      </c>
      <c r="F15" s="361"/>
      <c r="G15" s="454"/>
      <c r="H15" s="454"/>
    </row>
    <row r="16">
      <c r="A16" s="486" t="s">
        <v>164</v>
      </c>
      <c r="B16" s="487" t="s">
        <v>165</v>
      </c>
      <c r="C16" s="351">
        <f t="shared" si="1"/>
        <v>650</v>
      </c>
      <c r="D16" s="353" t="s">
        <v>244</v>
      </c>
      <c r="E16" s="354">
        <v>5.393606000158E12</v>
      </c>
      <c r="F16" s="381"/>
      <c r="G16" s="451"/>
      <c r="H16" s="451"/>
    </row>
    <row r="17">
      <c r="A17" s="494" t="s">
        <v>315</v>
      </c>
      <c r="B17" s="485" t="s">
        <v>325</v>
      </c>
      <c r="C17" s="358">
        <f t="shared" si="1"/>
        <v>650</v>
      </c>
      <c r="D17" s="359" t="s">
        <v>244</v>
      </c>
      <c r="E17" s="360">
        <v>5.393606000158E12</v>
      </c>
      <c r="F17" s="423"/>
      <c r="G17" s="469"/>
      <c r="H17" s="469"/>
    </row>
    <row r="18">
      <c r="A18" s="482" t="s">
        <v>430</v>
      </c>
      <c r="B18" s="483" t="s">
        <v>431</v>
      </c>
      <c r="C18" s="351">
        <f t="shared" si="1"/>
        <v>650</v>
      </c>
      <c r="D18" s="353" t="s">
        <v>244</v>
      </c>
      <c r="E18" s="354">
        <v>5.393606000158E12</v>
      </c>
      <c r="F18" s="381"/>
      <c r="G18" s="451"/>
      <c r="H18" s="451"/>
    </row>
    <row r="19">
      <c r="A19" s="484" t="s">
        <v>442</v>
      </c>
      <c r="B19" s="490" t="s">
        <v>454</v>
      </c>
      <c r="C19" s="358">
        <f t="shared" si="1"/>
        <v>650</v>
      </c>
      <c r="D19" s="359" t="s">
        <v>244</v>
      </c>
      <c r="E19" s="360">
        <v>5.393606000158E12</v>
      </c>
      <c r="F19" s="416"/>
      <c r="G19" s="469"/>
      <c r="H19" s="469"/>
    </row>
    <row r="20">
      <c r="A20" s="486" t="s">
        <v>171</v>
      </c>
      <c r="B20" s="483" t="s">
        <v>224</v>
      </c>
      <c r="C20" s="351">
        <f>$A$3*9</f>
        <v>292.5</v>
      </c>
      <c r="D20" s="353" t="s">
        <v>244</v>
      </c>
      <c r="E20" s="354">
        <v>5.393606000158E12</v>
      </c>
      <c r="F20" s="381" t="s">
        <v>458</v>
      </c>
      <c r="G20" s="451"/>
      <c r="H20" s="451"/>
    </row>
    <row r="21">
      <c r="A21" s="494" t="s">
        <v>167</v>
      </c>
      <c r="B21" s="485" t="s">
        <v>201</v>
      </c>
      <c r="C21" s="358">
        <f t="shared" ref="C21:C23" si="2">$A$3*$B$3</f>
        <v>650</v>
      </c>
      <c r="D21" s="359" t="s">
        <v>244</v>
      </c>
      <c r="E21" s="360">
        <v>5.393606000158E12</v>
      </c>
      <c r="F21" s="361"/>
      <c r="G21" s="454"/>
      <c r="H21" s="454"/>
    </row>
    <row r="22">
      <c r="A22" s="482" t="s">
        <v>455</v>
      </c>
      <c r="B22" s="490" t="s">
        <v>456</v>
      </c>
      <c r="C22" s="351">
        <f t="shared" si="2"/>
        <v>650</v>
      </c>
      <c r="D22" s="353" t="s">
        <v>244</v>
      </c>
      <c r="E22" s="354">
        <v>5.393606000158E12</v>
      </c>
      <c r="F22" s="477"/>
      <c r="G22" s="451"/>
      <c r="H22" s="451"/>
    </row>
    <row r="23">
      <c r="A23" s="494" t="s">
        <v>77</v>
      </c>
      <c r="B23" s="489" t="s">
        <v>78</v>
      </c>
      <c r="C23" s="358">
        <f t="shared" si="2"/>
        <v>650</v>
      </c>
      <c r="D23" s="359" t="s">
        <v>244</v>
      </c>
      <c r="E23" s="360">
        <v>5.393606000158E12</v>
      </c>
      <c r="F23" s="495"/>
      <c r="G23" s="469"/>
      <c r="H23" s="469"/>
    </row>
    <row r="24">
      <c r="A24" s="324" t="s">
        <v>288</v>
      </c>
      <c r="B24" s="325"/>
      <c r="C24" s="257">
        <f>SUM(C6:C23)</f>
        <v>11342.5</v>
      </c>
      <c r="D24" s="321"/>
      <c r="E24" s="322"/>
      <c r="F24" s="327"/>
    </row>
    <row r="25">
      <c r="A25" s="328"/>
      <c r="B25" s="329"/>
      <c r="C25" s="330"/>
      <c r="D25" s="331"/>
      <c r="E25" s="331"/>
      <c r="F25" s="332"/>
      <c r="G25" s="287"/>
    </row>
    <row r="26">
      <c r="A26" s="333"/>
      <c r="B26" s="333"/>
      <c r="C26" s="334"/>
      <c r="D26" s="262"/>
      <c r="E26" s="262"/>
      <c r="F26" s="262"/>
      <c r="G26" s="170"/>
      <c r="H26" s="170"/>
      <c r="I26" s="170"/>
      <c r="J26" s="170"/>
      <c r="K26" s="170"/>
      <c r="L26" s="170"/>
      <c r="M26" s="170"/>
      <c r="N26" s="170"/>
      <c r="O26" s="170"/>
      <c r="P26" s="170"/>
      <c r="Q26" s="170"/>
      <c r="R26" s="170"/>
      <c r="S26" s="170"/>
      <c r="T26" s="170"/>
      <c r="U26" s="170"/>
      <c r="V26" s="170"/>
      <c r="W26" s="170"/>
      <c r="X26" s="170"/>
      <c r="Y26" s="170"/>
      <c r="Z26" s="170"/>
    </row>
    <row r="27">
      <c r="A27" s="333"/>
      <c r="C27" s="334"/>
      <c r="D27" s="262"/>
      <c r="E27" s="262"/>
      <c r="F27" s="262"/>
      <c r="G27" s="170"/>
      <c r="H27" s="170"/>
      <c r="I27" s="170"/>
      <c r="J27" s="170"/>
      <c r="K27" s="170"/>
      <c r="L27" s="170"/>
      <c r="M27" s="170"/>
      <c r="N27" s="170"/>
      <c r="O27" s="170"/>
      <c r="P27" s="170"/>
      <c r="Q27" s="170"/>
      <c r="R27" s="170"/>
      <c r="S27" s="170"/>
      <c r="T27" s="170"/>
      <c r="U27" s="170"/>
      <c r="V27" s="170"/>
      <c r="W27" s="170"/>
      <c r="X27" s="170"/>
      <c r="Y27" s="170"/>
      <c r="Z27" s="170"/>
    </row>
    <row r="28">
      <c r="A28" s="203" t="s">
        <v>3</v>
      </c>
      <c r="F28" s="15"/>
      <c r="G28" s="170"/>
      <c r="H28" s="170"/>
      <c r="I28" s="170"/>
      <c r="J28" s="170"/>
      <c r="K28" s="170"/>
      <c r="L28" s="170"/>
      <c r="M28" s="170"/>
      <c r="N28" s="170"/>
      <c r="O28" s="170"/>
      <c r="P28" s="170"/>
      <c r="Q28" s="170"/>
      <c r="R28" s="170"/>
      <c r="S28" s="170"/>
      <c r="T28" s="170"/>
      <c r="U28" s="170"/>
      <c r="V28" s="170"/>
      <c r="W28" s="170"/>
      <c r="X28" s="170"/>
      <c r="Y28" s="170"/>
      <c r="Z28" s="170"/>
    </row>
    <row r="29">
      <c r="A29" s="225" t="s">
        <v>188</v>
      </c>
      <c r="B29" s="211"/>
      <c r="C29" s="211"/>
      <c r="D29" s="211"/>
      <c r="E29" s="211"/>
      <c r="F29" s="91"/>
      <c r="G29" s="170"/>
      <c r="H29" s="170"/>
      <c r="I29" s="170"/>
      <c r="J29" s="170"/>
      <c r="K29" s="170"/>
      <c r="L29" s="170"/>
      <c r="M29" s="170"/>
      <c r="N29" s="170"/>
      <c r="O29" s="170"/>
      <c r="P29" s="170"/>
      <c r="Q29" s="170"/>
      <c r="R29" s="170"/>
      <c r="S29" s="170"/>
      <c r="T29" s="170"/>
      <c r="U29" s="170"/>
      <c r="V29" s="170"/>
      <c r="W29" s="170"/>
      <c r="X29" s="170"/>
      <c r="Y29" s="170"/>
      <c r="Z29" s="170"/>
    </row>
    <row r="30" ht="26.25" customHeight="1">
      <c r="A30" s="227">
        <v>32.5</v>
      </c>
      <c r="B30" s="228">
        <v>20.0</v>
      </c>
      <c r="C30" s="229" t="s">
        <v>21</v>
      </c>
      <c r="D30" s="230" t="s">
        <v>117</v>
      </c>
      <c r="E30" s="230"/>
      <c r="F30" s="5"/>
      <c r="G30" s="170"/>
      <c r="H30" s="170"/>
      <c r="I30" s="170"/>
      <c r="J30" s="170"/>
      <c r="K30" s="170"/>
      <c r="L30" s="170"/>
      <c r="M30" s="170"/>
      <c r="N30" s="170"/>
      <c r="O30" s="170"/>
      <c r="P30" s="170"/>
      <c r="Q30" s="170"/>
      <c r="R30" s="170"/>
      <c r="S30" s="170"/>
      <c r="T30" s="170"/>
      <c r="U30" s="170"/>
      <c r="V30" s="170"/>
      <c r="W30" s="170"/>
      <c r="X30" s="170"/>
      <c r="Y30" s="170"/>
      <c r="Z30" s="170"/>
    </row>
    <row r="31" ht="44.25" customHeight="1">
      <c r="A31" s="232" t="s">
        <v>448</v>
      </c>
      <c r="B31" s="211"/>
      <c r="C31" s="211"/>
      <c r="D31" s="91"/>
      <c r="E31" s="277" t="s">
        <v>450</v>
      </c>
      <c r="F31" s="335" t="s">
        <v>24</v>
      </c>
      <c r="G31" s="170"/>
      <c r="H31" s="170"/>
      <c r="I31" s="170"/>
      <c r="J31" s="170"/>
      <c r="K31" s="170"/>
      <c r="L31" s="170"/>
      <c r="M31" s="170"/>
      <c r="N31" s="170"/>
      <c r="O31" s="170"/>
      <c r="P31" s="170"/>
      <c r="Q31" s="170"/>
      <c r="R31" s="170"/>
      <c r="S31" s="170"/>
      <c r="T31" s="170"/>
      <c r="U31" s="170"/>
      <c r="V31" s="170"/>
      <c r="W31" s="170"/>
      <c r="X31" s="170"/>
      <c r="Y31" s="170"/>
      <c r="Z31" s="170"/>
    </row>
    <row r="32" ht="44.25" customHeight="1">
      <c r="A32" s="264" t="s">
        <v>176</v>
      </c>
      <c r="B32" s="265" t="s">
        <v>26</v>
      </c>
      <c r="C32" s="265" t="s">
        <v>119</v>
      </c>
      <c r="D32" s="235" t="s">
        <v>220</v>
      </c>
      <c r="E32" s="278" t="s">
        <v>253</v>
      </c>
      <c r="F32" s="336" t="s">
        <v>28</v>
      </c>
      <c r="G32" s="170"/>
      <c r="H32" s="170"/>
      <c r="I32" s="170"/>
      <c r="J32" s="170"/>
      <c r="K32" s="170"/>
      <c r="L32" s="170"/>
      <c r="M32" s="170"/>
      <c r="N32" s="170"/>
      <c r="O32" s="170"/>
      <c r="P32" s="170"/>
      <c r="Q32" s="170"/>
      <c r="R32" s="170"/>
      <c r="S32" s="170"/>
      <c r="T32" s="170"/>
      <c r="U32" s="170"/>
      <c r="V32" s="170"/>
      <c r="W32" s="170"/>
      <c r="X32" s="170"/>
      <c r="Y32" s="170"/>
      <c r="Z32" s="170"/>
    </row>
    <row r="33">
      <c r="A33" s="386" t="s">
        <v>248</v>
      </c>
      <c r="B33" s="387" t="s">
        <v>239</v>
      </c>
      <c r="C33" s="496">
        <f t="shared" ref="C33:C36" si="3">$A$30*$B$3</f>
        <v>650</v>
      </c>
      <c r="D33" s="389" t="s">
        <v>244</v>
      </c>
      <c r="E33" s="390">
        <v>5.2803025000127E13</v>
      </c>
      <c r="F33" s="391"/>
      <c r="G33" s="170"/>
      <c r="H33" s="170"/>
      <c r="I33" s="170"/>
      <c r="J33" s="170"/>
      <c r="K33" s="170"/>
      <c r="L33" s="170"/>
      <c r="M33" s="170"/>
      <c r="N33" s="170"/>
      <c r="O33" s="170"/>
      <c r="P33" s="170"/>
      <c r="Q33" s="170"/>
      <c r="R33" s="170"/>
      <c r="S33" s="170"/>
      <c r="T33" s="170"/>
      <c r="U33" s="170"/>
      <c r="V33" s="170"/>
      <c r="W33" s="170"/>
      <c r="X33" s="170"/>
      <c r="Y33" s="170"/>
      <c r="Z33" s="170"/>
    </row>
    <row r="34">
      <c r="A34" s="392" t="s">
        <v>363</v>
      </c>
      <c r="B34" s="387" t="s">
        <v>364</v>
      </c>
      <c r="C34" s="496">
        <f t="shared" si="3"/>
        <v>650</v>
      </c>
      <c r="D34" s="389" t="s">
        <v>244</v>
      </c>
      <c r="E34" s="390">
        <v>5.2803025000127E13</v>
      </c>
      <c r="F34" s="450"/>
    </row>
    <row r="35">
      <c r="A35" s="392" t="s">
        <v>249</v>
      </c>
      <c r="B35" s="393" t="s">
        <v>250</v>
      </c>
      <c r="C35" s="496">
        <f t="shared" si="3"/>
        <v>650</v>
      </c>
      <c r="D35" s="396" t="s">
        <v>244</v>
      </c>
      <c r="E35" s="397">
        <v>5.2803025000127E13</v>
      </c>
      <c r="F35" s="478"/>
    </row>
    <row r="36">
      <c r="A36" s="400" t="s">
        <v>80</v>
      </c>
      <c r="B36" s="402" t="s">
        <v>81</v>
      </c>
      <c r="C36" s="496">
        <f t="shared" si="3"/>
        <v>650</v>
      </c>
      <c r="D36" s="396" t="s">
        <v>244</v>
      </c>
      <c r="E36" s="397">
        <v>5.2803025000127E13</v>
      </c>
      <c r="F36" s="480"/>
    </row>
    <row r="37">
      <c r="A37" s="400" t="s">
        <v>59</v>
      </c>
      <c r="B37" s="402" t="s">
        <v>60</v>
      </c>
      <c r="C37" s="496">
        <f>$A$30*7</f>
        <v>227.5</v>
      </c>
      <c r="D37" s="396" t="s">
        <v>244</v>
      </c>
      <c r="E37" s="397">
        <v>5.2803025000127E13</v>
      </c>
      <c r="F37" s="405"/>
    </row>
    <row r="38">
      <c r="A38" s="386" t="s">
        <v>394</v>
      </c>
      <c r="B38" s="389" t="s">
        <v>395</v>
      </c>
      <c r="C38" s="496">
        <f>$A$30*$B$3</f>
        <v>650</v>
      </c>
      <c r="D38" s="396" t="s">
        <v>244</v>
      </c>
      <c r="E38" s="397">
        <v>5.2803025000127E13</v>
      </c>
      <c r="F38" s="450"/>
    </row>
    <row r="39">
      <c r="A39" s="406" t="s">
        <v>134</v>
      </c>
      <c r="B39" s="389" t="s">
        <v>135</v>
      </c>
      <c r="C39" s="496">
        <f>$A$30*6</f>
        <v>195</v>
      </c>
      <c r="D39" s="389" t="s">
        <v>244</v>
      </c>
      <c r="E39" s="390">
        <v>5.2803025000127E13</v>
      </c>
      <c r="F39" s="478" t="s">
        <v>464</v>
      </c>
    </row>
    <row r="40">
      <c r="A40" s="249"/>
      <c r="B40" s="251"/>
      <c r="C40" s="268"/>
      <c r="D40" s="270"/>
      <c r="E40" s="281"/>
      <c r="F40" s="348"/>
    </row>
    <row r="41">
      <c r="A41" s="290" t="s">
        <v>288</v>
      </c>
      <c r="B41" s="290"/>
      <c r="C41" s="257">
        <f>SUM(C33:C39)</f>
        <v>3672.5</v>
      </c>
      <c r="D41" s="218"/>
      <c r="E41" s="218"/>
      <c r="F41" s="218"/>
    </row>
    <row r="44">
      <c r="A44" s="203" t="s">
        <v>3</v>
      </c>
      <c r="F44" s="15"/>
    </row>
    <row r="45">
      <c r="A45" s="225" t="s">
        <v>460</v>
      </c>
      <c r="B45" s="211"/>
      <c r="C45" s="211"/>
      <c r="D45" s="211"/>
      <c r="E45" s="211"/>
      <c r="F45" s="91"/>
    </row>
    <row r="46">
      <c r="A46" s="227">
        <v>32.5</v>
      </c>
      <c r="B46" s="228">
        <v>20.0</v>
      </c>
      <c r="C46" s="229" t="s">
        <v>21</v>
      </c>
      <c r="D46" s="230" t="s">
        <v>117</v>
      </c>
      <c r="E46" s="230"/>
      <c r="F46" s="5"/>
    </row>
    <row r="47">
      <c r="A47" s="232" t="s">
        <v>448</v>
      </c>
      <c r="B47" s="211"/>
      <c r="C47" s="211"/>
      <c r="D47" s="91"/>
      <c r="E47" s="277" t="s">
        <v>450</v>
      </c>
      <c r="F47" s="335" t="s">
        <v>24</v>
      </c>
    </row>
    <row r="48">
      <c r="A48" s="264" t="s">
        <v>176</v>
      </c>
      <c r="B48" s="265" t="s">
        <v>26</v>
      </c>
      <c r="C48" s="265" t="s">
        <v>119</v>
      </c>
      <c r="D48" s="235" t="s">
        <v>220</v>
      </c>
      <c r="E48" s="278" t="s">
        <v>253</v>
      </c>
      <c r="F48" s="336" t="s">
        <v>28</v>
      </c>
    </row>
    <row r="49">
      <c r="A49" s="392" t="s">
        <v>443</v>
      </c>
      <c r="B49" s="387" t="s">
        <v>461</v>
      </c>
      <c r="C49" s="496">
        <f t="shared" ref="C49:C51" si="4">$A$46*$B$3</f>
        <v>650</v>
      </c>
      <c r="D49" s="389" t="s">
        <v>244</v>
      </c>
      <c r="E49" s="390" t="s">
        <v>466</v>
      </c>
      <c r="F49" s="391"/>
    </row>
    <row r="50">
      <c r="A50" s="392" t="s">
        <v>462</v>
      </c>
      <c r="B50" s="499" t="s">
        <v>463</v>
      </c>
      <c r="C50" s="496">
        <f t="shared" si="4"/>
        <v>650</v>
      </c>
      <c r="D50" s="389" t="s">
        <v>244</v>
      </c>
      <c r="E50" s="390" t="s">
        <v>466</v>
      </c>
      <c r="F50" s="450"/>
    </row>
    <row r="51">
      <c r="A51" s="392" t="s">
        <v>469</v>
      </c>
      <c r="B51" s="387"/>
      <c r="C51" s="496">
        <f t="shared" si="4"/>
        <v>650</v>
      </c>
      <c r="D51" s="389" t="s">
        <v>244</v>
      </c>
      <c r="E51" s="390" t="s">
        <v>470</v>
      </c>
      <c r="F51" s="450"/>
    </row>
    <row r="52">
      <c r="A52" s="392"/>
      <c r="B52" s="393"/>
      <c r="C52" s="388"/>
      <c r="D52" s="396"/>
      <c r="E52" s="397"/>
      <c r="F52" s="478"/>
    </row>
    <row r="53">
      <c r="A53" s="400"/>
      <c r="B53" s="402"/>
      <c r="C53" s="388"/>
      <c r="D53" s="396"/>
      <c r="E53" s="397"/>
      <c r="F53" s="480"/>
    </row>
    <row r="54">
      <c r="A54" s="400"/>
      <c r="B54" s="402"/>
      <c r="C54" s="388"/>
      <c r="D54" s="396"/>
      <c r="E54" s="397"/>
      <c r="F54" s="405"/>
    </row>
    <row r="55">
      <c r="A55" s="386"/>
      <c r="B55" s="389"/>
      <c r="C55" s="388"/>
      <c r="D55" s="396"/>
      <c r="E55" s="397"/>
      <c r="F55" s="450"/>
    </row>
    <row r="56">
      <c r="A56" s="406"/>
      <c r="B56" s="410"/>
      <c r="C56" s="388"/>
      <c r="D56" s="389"/>
      <c r="E56" s="390"/>
      <c r="F56" s="478"/>
    </row>
    <row r="57">
      <c r="A57" s="392"/>
      <c r="B57" s="393"/>
      <c r="C57" s="388"/>
      <c r="D57" s="389"/>
      <c r="E57" s="390"/>
      <c r="F57" s="400"/>
    </row>
    <row r="58">
      <c r="A58" s="249"/>
      <c r="B58" s="251"/>
      <c r="C58" s="268"/>
      <c r="D58" s="270"/>
      <c r="E58" s="281"/>
      <c r="F58" s="348"/>
    </row>
    <row r="59">
      <c r="A59" s="290" t="s">
        <v>288</v>
      </c>
      <c r="B59" s="290"/>
      <c r="C59" s="257">
        <f>SUM(C49:C57)</f>
        <v>1950</v>
      </c>
      <c r="D59" s="218"/>
      <c r="E59" s="218"/>
      <c r="F59" s="218"/>
    </row>
  </sheetData>
  <autoFilter ref="$A$5:$F$23">
    <sortState ref="A5:F23">
      <sortCondition ref="A5:A23"/>
    </sortState>
  </autoFilter>
  <mergeCells count="10">
    <mergeCell ref="A44:F44"/>
    <mergeCell ref="A45:F45"/>
    <mergeCell ref="A47:D47"/>
    <mergeCell ref="A1:F1"/>
    <mergeCell ref="A2:F2"/>
    <mergeCell ref="A4:D4"/>
    <mergeCell ref="A27:B27"/>
    <mergeCell ref="A28:F28"/>
    <mergeCell ref="A29:F29"/>
    <mergeCell ref="A31:D31"/>
  </mergeCells>
  <printOptions gridLines="1" horizontalCentered="1"/>
  <pageMargins bottom="0.75" footer="0.0" header="0.0" left="0.7" right="0.7" top="0.75"/>
  <pageSetup paperSize="9" cellComments="atEnd" orientation="portrait" pageOrder="overThenDown"/>
  <drawing r:id="rId1"/>
  <tableParts count="2">
    <tablePart r:id="rId4"/>
    <tablePart r:id="rId5"/>
  </tableParts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0.13"/>
    <col customWidth="1" min="2" max="2" width="14.25"/>
    <col customWidth="1" min="3" max="3" width="10.38"/>
    <col customWidth="1" min="4" max="4" width="14.38"/>
    <col customWidth="1" min="5" max="5" width="14.88"/>
    <col customWidth="1" min="6" max="6" width="60.25"/>
  </cols>
  <sheetData>
    <row r="1" ht="21.75" customHeight="1">
      <c r="A1" s="203" t="s">
        <v>3</v>
      </c>
      <c r="F1" s="15"/>
    </row>
    <row r="2">
      <c r="A2" s="225" t="s">
        <v>198</v>
      </c>
      <c r="B2" s="211"/>
      <c r="C2" s="211"/>
      <c r="D2" s="211"/>
      <c r="E2" s="211"/>
      <c r="F2" s="91"/>
      <c r="G2" s="275" t="s">
        <v>173</v>
      </c>
    </row>
    <row r="3" ht="24.0" customHeight="1">
      <c r="A3" s="227">
        <v>32.5</v>
      </c>
      <c r="B3" s="228">
        <v>21.0</v>
      </c>
      <c r="C3" s="229" t="s">
        <v>21</v>
      </c>
      <c r="D3" s="230"/>
      <c r="E3" s="230"/>
      <c r="F3" s="110"/>
      <c r="G3" s="292">
        <f>C24+C40</f>
        <v>15697.5</v>
      </c>
    </row>
    <row r="4" ht="34.5" customHeight="1">
      <c r="A4" s="232" t="s">
        <v>467</v>
      </c>
      <c r="B4" s="211"/>
      <c r="C4" s="211"/>
      <c r="D4" s="91"/>
      <c r="E4" s="277" t="s">
        <v>468</v>
      </c>
      <c r="F4" s="293" t="s">
        <v>24</v>
      </c>
    </row>
    <row r="5" ht="24.75" customHeight="1">
      <c r="A5" s="49" t="s">
        <v>176</v>
      </c>
      <c r="B5" s="50" t="s">
        <v>26</v>
      </c>
      <c r="C5" s="50" t="s">
        <v>119</v>
      </c>
      <c r="D5" s="235" t="s">
        <v>220</v>
      </c>
      <c r="E5" s="278" t="s">
        <v>253</v>
      </c>
      <c r="F5" s="52" t="s">
        <v>28</v>
      </c>
    </row>
    <row r="6">
      <c r="A6" s="349" t="s">
        <v>33</v>
      </c>
      <c r="B6" s="403" t="s">
        <v>34</v>
      </c>
      <c r="C6" s="351">
        <f t="shared" ref="C6:C9" si="1">$A$3*$B$3</f>
        <v>682.5</v>
      </c>
      <c r="D6" s="353" t="s">
        <v>244</v>
      </c>
      <c r="E6" s="354">
        <v>5.393606000158E12</v>
      </c>
      <c r="F6" s="355"/>
      <c r="G6" s="463"/>
      <c r="H6" s="463"/>
    </row>
    <row r="7">
      <c r="A7" s="373" t="s">
        <v>35</v>
      </c>
      <c r="B7" s="374" t="s">
        <v>36</v>
      </c>
      <c r="C7" s="358">
        <f t="shared" si="1"/>
        <v>682.5</v>
      </c>
      <c r="D7" s="359" t="s">
        <v>244</v>
      </c>
      <c r="E7" s="360">
        <v>5.393606000158E12</v>
      </c>
      <c r="F7" s="361"/>
      <c r="G7" s="472"/>
      <c r="H7" s="472"/>
      <c r="I7" s="170"/>
      <c r="J7" s="170"/>
      <c r="K7" s="170"/>
      <c r="L7" s="170"/>
      <c r="M7" s="170"/>
      <c r="N7" s="170"/>
      <c r="O7" s="170"/>
      <c r="P7" s="170"/>
      <c r="Q7" s="170"/>
      <c r="R7" s="170"/>
      <c r="S7" s="170"/>
      <c r="T7" s="170"/>
      <c r="U7" s="170"/>
      <c r="V7" s="170"/>
      <c r="W7" s="170"/>
      <c r="X7" s="170"/>
      <c r="Y7" s="170"/>
      <c r="Z7" s="170"/>
    </row>
    <row r="8">
      <c r="A8" s="482" t="s">
        <v>100</v>
      </c>
      <c r="B8" s="483" t="s">
        <v>446</v>
      </c>
      <c r="C8" s="351">
        <f t="shared" si="1"/>
        <v>682.5</v>
      </c>
      <c r="D8" s="353" t="s">
        <v>244</v>
      </c>
      <c r="E8" s="354">
        <v>5.393606000158E12</v>
      </c>
      <c r="F8" s="355"/>
      <c r="G8" s="463"/>
      <c r="H8" s="463"/>
    </row>
    <row r="9">
      <c r="A9" s="484" t="s">
        <v>471</v>
      </c>
      <c r="B9" s="485" t="s">
        <v>423</v>
      </c>
      <c r="C9" s="358">
        <f t="shared" si="1"/>
        <v>682.5</v>
      </c>
      <c r="D9" s="359" t="s">
        <v>244</v>
      </c>
      <c r="E9" s="360">
        <v>5.393606000158E12</v>
      </c>
      <c r="F9" s="361"/>
      <c r="G9" s="454"/>
      <c r="H9" s="454"/>
    </row>
    <row r="10">
      <c r="A10" s="486" t="s">
        <v>234</v>
      </c>
      <c r="B10" s="487" t="s">
        <v>235</v>
      </c>
      <c r="C10" s="351">
        <v>0.0</v>
      </c>
      <c r="D10" s="367" t="s">
        <v>244</v>
      </c>
      <c r="E10" s="368">
        <v>5.393606000158E12</v>
      </c>
      <c r="F10" s="355" t="s">
        <v>472</v>
      </c>
      <c r="G10" s="463"/>
      <c r="H10" s="463"/>
    </row>
    <row r="11">
      <c r="A11" s="488" t="s">
        <v>203</v>
      </c>
      <c r="B11" s="489" t="s">
        <v>204</v>
      </c>
      <c r="C11" s="358">
        <v>0.0</v>
      </c>
      <c r="D11" s="365" t="s">
        <v>244</v>
      </c>
      <c r="E11" s="366">
        <v>5.393606000158E12</v>
      </c>
      <c r="F11" s="361" t="s">
        <v>457</v>
      </c>
      <c r="G11" s="454"/>
      <c r="H11" s="454"/>
    </row>
    <row r="12">
      <c r="A12" s="482" t="s">
        <v>425</v>
      </c>
      <c r="B12" s="490" t="s">
        <v>426</v>
      </c>
      <c r="C12" s="351">
        <f t="shared" ref="C12:C23" si="2">$A$3*$B$3</f>
        <v>682.5</v>
      </c>
      <c r="D12" s="353" t="s">
        <v>244</v>
      </c>
      <c r="E12" s="354">
        <v>5.393606000158E12</v>
      </c>
      <c r="F12" s="481"/>
      <c r="G12" s="451"/>
      <c r="H12" s="451"/>
    </row>
    <row r="13">
      <c r="A13" s="411" t="s">
        <v>147</v>
      </c>
      <c r="B13" s="491" t="s">
        <v>148</v>
      </c>
      <c r="C13" s="358">
        <f t="shared" si="2"/>
        <v>682.5</v>
      </c>
      <c r="D13" s="359" t="s">
        <v>244</v>
      </c>
      <c r="E13" s="360">
        <v>5.393606000158E12</v>
      </c>
      <c r="F13" s="361"/>
      <c r="G13" s="454"/>
      <c r="H13" s="454"/>
    </row>
    <row r="14">
      <c r="A14" s="401" t="s">
        <v>61</v>
      </c>
      <c r="B14" s="403" t="s">
        <v>62</v>
      </c>
      <c r="C14" s="351">
        <f t="shared" si="2"/>
        <v>682.5</v>
      </c>
      <c r="D14" s="353" t="s">
        <v>244</v>
      </c>
      <c r="E14" s="354">
        <v>5.393606000158E12</v>
      </c>
      <c r="F14" s="355" t="s">
        <v>473</v>
      </c>
      <c r="G14" s="455"/>
      <c r="H14" s="492"/>
      <c r="I14" s="170"/>
      <c r="J14" s="170"/>
      <c r="K14" s="170"/>
      <c r="L14" s="170"/>
      <c r="M14" s="170"/>
      <c r="N14" s="170"/>
      <c r="O14" s="170"/>
      <c r="P14" s="170"/>
      <c r="Q14" s="170"/>
      <c r="R14" s="170"/>
      <c r="S14" s="170"/>
      <c r="T14" s="170"/>
      <c r="U14" s="170"/>
      <c r="V14" s="170"/>
      <c r="W14" s="170"/>
      <c r="X14" s="170"/>
      <c r="Y14" s="170"/>
      <c r="Z14" s="170"/>
    </row>
    <row r="15">
      <c r="A15" s="500" t="s">
        <v>474</v>
      </c>
      <c r="B15" s="493" t="s">
        <v>321</v>
      </c>
      <c r="C15" s="358">
        <f t="shared" si="2"/>
        <v>682.5</v>
      </c>
      <c r="D15" s="359" t="s">
        <v>244</v>
      </c>
      <c r="E15" s="360">
        <v>5.393606000158E12</v>
      </c>
      <c r="F15" s="361"/>
      <c r="G15" s="454"/>
      <c r="H15" s="454"/>
    </row>
    <row r="16">
      <c r="A16" s="486" t="s">
        <v>164</v>
      </c>
      <c r="B16" s="487" t="s">
        <v>165</v>
      </c>
      <c r="C16" s="351">
        <f t="shared" si="2"/>
        <v>682.5</v>
      </c>
      <c r="D16" s="353" t="s">
        <v>244</v>
      </c>
      <c r="E16" s="354">
        <v>5.393606000158E12</v>
      </c>
      <c r="F16" s="381"/>
      <c r="G16" s="451"/>
      <c r="H16" s="451"/>
    </row>
    <row r="17">
      <c r="A17" s="494" t="s">
        <v>315</v>
      </c>
      <c r="B17" s="485" t="s">
        <v>325</v>
      </c>
      <c r="C17" s="358">
        <f t="shared" si="2"/>
        <v>682.5</v>
      </c>
      <c r="D17" s="359" t="s">
        <v>244</v>
      </c>
      <c r="E17" s="360">
        <v>5.393606000158E12</v>
      </c>
      <c r="F17" s="423"/>
      <c r="G17" s="469"/>
      <c r="H17" s="469"/>
    </row>
    <row r="18">
      <c r="A18" s="482" t="s">
        <v>430</v>
      </c>
      <c r="B18" s="483" t="s">
        <v>431</v>
      </c>
      <c r="C18" s="351">
        <f t="shared" si="2"/>
        <v>682.5</v>
      </c>
      <c r="D18" s="353" t="s">
        <v>244</v>
      </c>
      <c r="E18" s="354">
        <v>5.393606000158E12</v>
      </c>
      <c r="F18" s="381"/>
      <c r="G18" s="451"/>
      <c r="H18" s="451"/>
    </row>
    <row r="19">
      <c r="A19" s="484" t="s">
        <v>475</v>
      </c>
      <c r="B19" s="490" t="s">
        <v>454</v>
      </c>
      <c r="C19" s="358">
        <f t="shared" si="2"/>
        <v>682.5</v>
      </c>
      <c r="D19" s="359" t="s">
        <v>244</v>
      </c>
      <c r="E19" s="360">
        <v>5.393606000158E12</v>
      </c>
      <c r="F19" s="416"/>
      <c r="G19" s="469"/>
      <c r="H19" s="469"/>
    </row>
    <row r="20">
      <c r="A20" s="486" t="s">
        <v>171</v>
      </c>
      <c r="B20" s="483" t="s">
        <v>224</v>
      </c>
      <c r="C20" s="351">
        <f t="shared" si="2"/>
        <v>682.5</v>
      </c>
      <c r="D20" s="353" t="s">
        <v>244</v>
      </c>
      <c r="E20" s="354">
        <v>5.393606000158E12</v>
      </c>
      <c r="F20" s="381"/>
      <c r="G20" s="451"/>
      <c r="H20" s="451"/>
    </row>
    <row r="21">
      <c r="A21" s="484" t="s">
        <v>476</v>
      </c>
      <c r="B21" s="485" t="s">
        <v>201</v>
      </c>
      <c r="C21" s="358">
        <f t="shared" si="2"/>
        <v>682.5</v>
      </c>
      <c r="D21" s="359" t="s">
        <v>244</v>
      </c>
      <c r="E21" s="360">
        <v>5.393606000158E12</v>
      </c>
      <c r="F21" s="361"/>
      <c r="G21" s="454"/>
      <c r="H21" s="454"/>
    </row>
    <row r="22">
      <c r="A22" s="482" t="s">
        <v>455</v>
      </c>
      <c r="B22" s="490" t="s">
        <v>456</v>
      </c>
      <c r="C22" s="351">
        <f t="shared" si="2"/>
        <v>682.5</v>
      </c>
      <c r="D22" s="353" t="s">
        <v>244</v>
      </c>
      <c r="E22" s="354">
        <v>5.393606000158E12</v>
      </c>
      <c r="F22" s="477"/>
      <c r="G22" s="451"/>
      <c r="H22" s="451"/>
    </row>
    <row r="23">
      <c r="A23" s="494" t="s">
        <v>77</v>
      </c>
      <c r="B23" s="489" t="s">
        <v>78</v>
      </c>
      <c r="C23" s="358">
        <f t="shared" si="2"/>
        <v>682.5</v>
      </c>
      <c r="D23" s="359" t="s">
        <v>244</v>
      </c>
      <c r="E23" s="360">
        <v>5.393606000158E12</v>
      </c>
      <c r="F23" s="495"/>
      <c r="G23" s="469"/>
      <c r="H23" s="469"/>
    </row>
    <row r="24">
      <c r="A24" s="324" t="s">
        <v>288</v>
      </c>
      <c r="B24" s="325"/>
      <c r="C24" s="257">
        <f>SUM(C6:C23)</f>
        <v>10920</v>
      </c>
      <c r="D24" s="321"/>
      <c r="E24" s="322"/>
      <c r="F24" s="327"/>
    </row>
    <row r="25">
      <c r="A25" s="328"/>
      <c r="B25" s="329"/>
      <c r="C25" s="330"/>
      <c r="D25" s="331"/>
      <c r="E25" s="331"/>
      <c r="F25" s="332"/>
      <c r="G25" s="287"/>
    </row>
    <row r="26">
      <c r="A26" s="333"/>
      <c r="B26" s="333"/>
      <c r="C26" s="334"/>
      <c r="D26" s="262"/>
      <c r="E26" s="262"/>
      <c r="F26" s="262"/>
      <c r="G26" s="170"/>
      <c r="H26" s="170"/>
      <c r="I26" s="170"/>
      <c r="J26" s="170"/>
      <c r="K26" s="170"/>
      <c r="L26" s="170"/>
      <c r="M26" s="170"/>
      <c r="N26" s="170"/>
      <c r="O26" s="170"/>
      <c r="P26" s="170"/>
      <c r="Q26" s="170"/>
      <c r="R26" s="170"/>
      <c r="S26" s="170"/>
      <c r="T26" s="170"/>
      <c r="U26" s="170"/>
      <c r="V26" s="170"/>
      <c r="W26" s="170"/>
      <c r="X26" s="170"/>
      <c r="Y26" s="170"/>
      <c r="Z26" s="170"/>
    </row>
    <row r="27">
      <c r="A27" s="333"/>
      <c r="C27" s="334"/>
      <c r="D27" s="262"/>
      <c r="E27" s="262"/>
      <c r="F27" s="262"/>
      <c r="G27" s="170"/>
      <c r="H27" s="170"/>
      <c r="I27" s="170"/>
      <c r="J27" s="170"/>
      <c r="K27" s="170"/>
      <c r="L27" s="170"/>
      <c r="M27" s="170"/>
      <c r="N27" s="170"/>
      <c r="O27" s="170"/>
      <c r="P27" s="170"/>
      <c r="Q27" s="170"/>
      <c r="R27" s="170"/>
      <c r="S27" s="170"/>
      <c r="T27" s="170"/>
      <c r="U27" s="170"/>
      <c r="V27" s="170"/>
      <c r="W27" s="170"/>
      <c r="X27" s="170"/>
      <c r="Y27" s="170"/>
      <c r="Z27" s="170"/>
    </row>
    <row r="28">
      <c r="A28" s="203" t="s">
        <v>3</v>
      </c>
      <c r="F28" s="15"/>
      <c r="G28" s="170"/>
      <c r="H28" s="170"/>
      <c r="I28" s="170"/>
      <c r="J28" s="170"/>
      <c r="K28" s="170"/>
      <c r="L28" s="170"/>
      <c r="M28" s="170"/>
      <c r="N28" s="170"/>
      <c r="O28" s="170"/>
      <c r="P28" s="170"/>
      <c r="Q28" s="170"/>
      <c r="R28" s="170"/>
      <c r="S28" s="170"/>
      <c r="T28" s="170"/>
      <c r="U28" s="170"/>
      <c r="V28" s="170"/>
      <c r="W28" s="170"/>
      <c r="X28" s="170"/>
      <c r="Y28" s="170"/>
      <c r="Z28" s="170"/>
    </row>
    <row r="29">
      <c r="A29" s="225" t="s">
        <v>188</v>
      </c>
      <c r="B29" s="211"/>
      <c r="C29" s="211"/>
      <c r="D29" s="211"/>
      <c r="E29" s="211"/>
      <c r="F29" s="91"/>
      <c r="G29" s="170"/>
      <c r="H29" s="170"/>
      <c r="I29" s="170"/>
      <c r="J29" s="170"/>
      <c r="K29" s="170"/>
      <c r="L29" s="170"/>
      <c r="M29" s="170"/>
      <c r="N29" s="170"/>
      <c r="O29" s="170"/>
      <c r="P29" s="170"/>
      <c r="Q29" s="170"/>
      <c r="R29" s="170"/>
      <c r="S29" s="170"/>
      <c r="T29" s="170"/>
      <c r="U29" s="170"/>
      <c r="V29" s="170"/>
      <c r="W29" s="170"/>
      <c r="X29" s="170"/>
      <c r="Y29" s="170"/>
      <c r="Z29" s="170"/>
    </row>
    <row r="30" ht="26.25" customHeight="1">
      <c r="A30" s="227">
        <v>32.5</v>
      </c>
      <c r="B30" s="228">
        <v>21.0</v>
      </c>
      <c r="C30" s="229" t="s">
        <v>21</v>
      </c>
      <c r="D30" s="230" t="s">
        <v>117</v>
      </c>
      <c r="E30" s="230"/>
      <c r="F30" s="5"/>
      <c r="G30" s="170"/>
      <c r="H30" s="170"/>
      <c r="I30" s="170"/>
      <c r="J30" s="170"/>
      <c r="K30" s="170"/>
      <c r="L30" s="170"/>
      <c r="M30" s="170"/>
      <c r="N30" s="170"/>
      <c r="O30" s="170"/>
      <c r="P30" s="170"/>
      <c r="Q30" s="170"/>
      <c r="R30" s="170"/>
      <c r="S30" s="170"/>
      <c r="T30" s="170"/>
      <c r="U30" s="170"/>
      <c r="V30" s="170"/>
      <c r="W30" s="170"/>
      <c r="X30" s="170"/>
      <c r="Y30" s="170"/>
      <c r="Z30" s="170"/>
    </row>
    <row r="31" ht="44.25" customHeight="1">
      <c r="A31" s="232" t="s">
        <v>467</v>
      </c>
      <c r="B31" s="211"/>
      <c r="C31" s="211"/>
      <c r="D31" s="91"/>
      <c r="E31" s="277" t="s">
        <v>468</v>
      </c>
      <c r="F31" s="335" t="s">
        <v>24</v>
      </c>
      <c r="G31" s="170"/>
      <c r="H31" s="170"/>
      <c r="I31" s="170"/>
      <c r="J31" s="170"/>
      <c r="K31" s="170"/>
      <c r="L31" s="170"/>
      <c r="M31" s="170"/>
      <c r="N31" s="170"/>
      <c r="O31" s="170"/>
      <c r="P31" s="170"/>
      <c r="Q31" s="170"/>
      <c r="R31" s="170"/>
      <c r="S31" s="170"/>
      <c r="T31" s="170"/>
      <c r="U31" s="170"/>
      <c r="V31" s="170"/>
      <c r="W31" s="170"/>
      <c r="X31" s="170"/>
      <c r="Y31" s="170"/>
      <c r="Z31" s="170"/>
    </row>
    <row r="32" ht="44.25" customHeight="1">
      <c r="A32" s="264" t="s">
        <v>176</v>
      </c>
      <c r="B32" s="265" t="s">
        <v>26</v>
      </c>
      <c r="C32" s="265" t="s">
        <v>119</v>
      </c>
      <c r="D32" s="235" t="s">
        <v>220</v>
      </c>
      <c r="E32" s="278" t="s">
        <v>253</v>
      </c>
      <c r="F32" s="336" t="s">
        <v>28</v>
      </c>
      <c r="G32" s="170"/>
      <c r="H32" s="170"/>
      <c r="I32" s="170"/>
      <c r="J32" s="170"/>
      <c r="K32" s="170"/>
      <c r="L32" s="170"/>
      <c r="M32" s="170"/>
      <c r="N32" s="170"/>
      <c r="O32" s="170"/>
      <c r="P32" s="170"/>
      <c r="Q32" s="170"/>
      <c r="R32" s="170"/>
      <c r="S32" s="170"/>
      <c r="T32" s="170"/>
      <c r="U32" s="170"/>
      <c r="V32" s="170"/>
      <c r="W32" s="170"/>
      <c r="X32" s="170"/>
      <c r="Y32" s="170"/>
      <c r="Z32" s="170"/>
    </row>
    <row r="33">
      <c r="A33" s="386" t="s">
        <v>480</v>
      </c>
      <c r="B33" s="387" t="s">
        <v>239</v>
      </c>
      <c r="C33" s="496">
        <f t="shared" ref="C33:C39" si="3">$A$30*$B$3</f>
        <v>682.5</v>
      </c>
      <c r="D33" s="389" t="s">
        <v>244</v>
      </c>
      <c r="E33" s="390">
        <v>5.2803025000127E13</v>
      </c>
      <c r="F33" s="391"/>
      <c r="G33" s="170"/>
      <c r="H33" s="170"/>
      <c r="I33" s="170"/>
      <c r="J33" s="170"/>
      <c r="K33" s="170"/>
      <c r="L33" s="170"/>
      <c r="M33" s="170"/>
      <c r="N33" s="170"/>
      <c r="O33" s="170"/>
      <c r="P33" s="170"/>
      <c r="Q33" s="170"/>
      <c r="R33" s="170"/>
      <c r="S33" s="170"/>
      <c r="T33" s="170"/>
      <c r="U33" s="170"/>
      <c r="V33" s="170"/>
      <c r="W33" s="170"/>
      <c r="X33" s="170"/>
      <c r="Y33" s="170"/>
      <c r="Z33" s="170"/>
    </row>
    <row r="34">
      <c r="A34" s="392" t="s">
        <v>363</v>
      </c>
      <c r="B34" s="387" t="s">
        <v>364</v>
      </c>
      <c r="C34" s="496">
        <f t="shared" si="3"/>
        <v>682.5</v>
      </c>
      <c r="D34" s="389" t="s">
        <v>244</v>
      </c>
      <c r="E34" s="390">
        <v>5.2803025000127E13</v>
      </c>
      <c r="F34" s="450"/>
    </row>
    <row r="35">
      <c r="A35" s="392" t="s">
        <v>484</v>
      </c>
      <c r="B35" s="393" t="s">
        <v>250</v>
      </c>
      <c r="C35" s="496">
        <f t="shared" si="3"/>
        <v>682.5</v>
      </c>
      <c r="D35" s="396" t="s">
        <v>244</v>
      </c>
      <c r="E35" s="397">
        <v>5.2803025000127E13</v>
      </c>
      <c r="F35" s="478"/>
    </row>
    <row r="36">
      <c r="A36" s="400" t="s">
        <v>80</v>
      </c>
      <c r="B36" s="402" t="s">
        <v>81</v>
      </c>
      <c r="C36" s="496">
        <f t="shared" si="3"/>
        <v>682.5</v>
      </c>
      <c r="D36" s="396" t="s">
        <v>244</v>
      </c>
      <c r="E36" s="397">
        <v>5.2803025000127E13</v>
      </c>
      <c r="F36" s="480"/>
    </row>
    <row r="37">
      <c r="A37" s="400" t="s">
        <v>59</v>
      </c>
      <c r="B37" s="402" t="s">
        <v>60</v>
      </c>
      <c r="C37" s="496">
        <f t="shared" si="3"/>
        <v>682.5</v>
      </c>
      <c r="D37" s="396" t="s">
        <v>244</v>
      </c>
      <c r="E37" s="397">
        <v>5.2803025000127E13</v>
      </c>
      <c r="F37" s="405"/>
    </row>
    <row r="38">
      <c r="A38" s="386" t="s">
        <v>487</v>
      </c>
      <c r="B38" s="389" t="s">
        <v>395</v>
      </c>
      <c r="C38" s="496">
        <f t="shared" si="3"/>
        <v>682.5</v>
      </c>
      <c r="D38" s="396" t="s">
        <v>244</v>
      </c>
      <c r="E38" s="397">
        <v>5.2803025000127E13</v>
      </c>
      <c r="F38" s="450"/>
    </row>
    <row r="39">
      <c r="A39" s="406" t="s">
        <v>134</v>
      </c>
      <c r="B39" s="389" t="s">
        <v>135</v>
      </c>
      <c r="C39" s="496">
        <f t="shared" si="3"/>
        <v>682.5</v>
      </c>
      <c r="D39" s="389" t="s">
        <v>244</v>
      </c>
      <c r="E39" s="390">
        <v>5.2803025000127E13</v>
      </c>
      <c r="F39" s="478"/>
    </row>
    <row r="40">
      <c r="A40" s="290" t="s">
        <v>288</v>
      </c>
      <c r="B40" s="290"/>
      <c r="C40" s="257">
        <f>SUM(C33:C39)</f>
        <v>4777.5</v>
      </c>
      <c r="D40" s="218"/>
      <c r="E40" s="218"/>
      <c r="F40" s="218"/>
    </row>
    <row r="43">
      <c r="A43" s="203" t="s">
        <v>3</v>
      </c>
      <c r="F43" s="15"/>
    </row>
    <row r="44">
      <c r="A44" s="225" t="s">
        <v>460</v>
      </c>
      <c r="B44" s="211"/>
      <c r="C44" s="211"/>
      <c r="D44" s="211"/>
      <c r="E44" s="211"/>
      <c r="F44" s="91"/>
    </row>
    <row r="45">
      <c r="A45" s="227">
        <v>32.5</v>
      </c>
      <c r="B45" s="228">
        <v>21.0</v>
      </c>
      <c r="C45" s="229" t="s">
        <v>21</v>
      </c>
      <c r="D45" s="230" t="s">
        <v>117</v>
      </c>
      <c r="E45" s="230"/>
      <c r="F45" s="5"/>
    </row>
    <row r="46">
      <c r="A46" s="232" t="s">
        <v>467</v>
      </c>
      <c r="B46" s="211"/>
      <c r="C46" s="211"/>
      <c r="D46" s="91"/>
      <c r="E46" s="277" t="s">
        <v>468</v>
      </c>
      <c r="F46" s="335" t="s">
        <v>24</v>
      </c>
    </row>
    <row r="47">
      <c r="A47" s="264" t="s">
        <v>176</v>
      </c>
      <c r="B47" s="265" t="s">
        <v>26</v>
      </c>
      <c r="C47" s="265" t="s">
        <v>119</v>
      </c>
      <c r="D47" s="235" t="s">
        <v>220</v>
      </c>
      <c r="E47" s="278" t="s">
        <v>253</v>
      </c>
      <c r="F47" s="336" t="s">
        <v>28</v>
      </c>
    </row>
    <row r="48">
      <c r="A48" s="392" t="s">
        <v>489</v>
      </c>
      <c r="B48" s="499" t="s">
        <v>463</v>
      </c>
      <c r="C48" s="496">
        <f t="shared" ref="C48:C49" si="4">$A$45*$B$3</f>
        <v>682.5</v>
      </c>
      <c r="D48" s="389" t="s">
        <v>244</v>
      </c>
      <c r="E48" s="390" t="s">
        <v>466</v>
      </c>
      <c r="F48" s="450"/>
    </row>
    <row r="49">
      <c r="A49" s="392" t="s">
        <v>492</v>
      </c>
      <c r="B49" s="387"/>
      <c r="C49" s="496">
        <f t="shared" si="4"/>
        <v>682.5</v>
      </c>
      <c r="D49" s="389" t="s">
        <v>244</v>
      </c>
      <c r="E49" s="390" t="s">
        <v>470</v>
      </c>
      <c r="F49" s="450"/>
    </row>
    <row r="50">
      <c r="A50" s="392"/>
      <c r="B50" s="393"/>
      <c r="C50" s="388"/>
      <c r="D50" s="396"/>
      <c r="E50" s="397"/>
      <c r="F50" s="478"/>
    </row>
    <row r="51">
      <c r="A51" s="400"/>
      <c r="B51" s="402"/>
      <c r="C51" s="388"/>
      <c r="D51" s="396"/>
      <c r="E51" s="397"/>
      <c r="F51" s="480"/>
    </row>
    <row r="52">
      <c r="A52" s="400"/>
      <c r="B52" s="402"/>
      <c r="C52" s="388"/>
      <c r="D52" s="396"/>
      <c r="E52" s="397"/>
      <c r="F52" s="405"/>
    </row>
    <row r="53">
      <c r="A53" s="386"/>
      <c r="B53" s="389"/>
      <c r="C53" s="388"/>
      <c r="D53" s="396"/>
      <c r="E53" s="397"/>
      <c r="F53" s="450"/>
    </row>
    <row r="54">
      <c r="A54" s="406"/>
      <c r="B54" s="410"/>
      <c r="C54" s="388"/>
      <c r="D54" s="389"/>
      <c r="E54" s="390"/>
      <c r="F54" s="478"/>
    </row>
    <row r="55">
      <c r="A55" s="392"/>
      <c r="B55" s="393"/>
      <c r="C55" s="388"/>
      <c r="D55" s="389"/>
      <c r="E55" s="390"/>
      <c r="F55" s="400"/>
    </row>
    <row r="56">
      <c r="A56" s="249"/>
      <c r="B56" s="251"/>
      <c r="C56" s="268"/>
      <c r="D56" s="270"/>
      <c r="E56" s="281"/>
      <c r="F56" s="348"/>
    </row>
    <row r="57">
      <c r="A57" s="290" t="s">
        <v>288</v>
      </c>
      <c r="B57" s="290"/>
      <c r="C57" s="257">
        <f>SUM(C48:C55)</f>
        <v>1365</v>
      </c>
      <c r="D57" s="218"/>
      <c r="E57" s="218"/>
      <c r="F57" s="218"/>
    </row>
  </sheetData>
  <autoFilter ref="$A$5:$F$23">
    <sortState ref="A5:F23">
      <sortCondition ref="A5:A23"/>
    </sortState>
  </autoFilter>
  <mergeCells count="10">
    <mergeCell ref="A43:F43"/>
    <mergeCell ref="A44:F44"/>
    <mergeCell ref="A46:D46"/>
    <mergeCell ref="A1:F1"/>
    <mergeCell ref="A2:F2"/>
    <mergeCell ref="A4:D4"/>
    <mergeCell ref="A27:B27"/>
    <mergeCell ref="A28:F28"/>
    <mergeCell ref="A29:F29"/>
    <mergeCell ref="A31:D31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1"/>
  <tableParts count="2">
    <tablePart r:id="rId4"/>
    <tablePart r:id="rId5"/>
  </tableParts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31.0"/>
    <col customWidth="1" min="2" max="2" width="11.63"/>
    <col customWidth="1" min="3" max="3" width="11.75"/>
    <col customWidth="1" min="4" max="4" width="11.63"/>
    <col customWidth="1" min="5" max="5" width="14.88"/>
    <col customWidth="1" min="6" max="6" width="58.25"/>
    <col customWidth="1" min="8" max="8" width="13.0"/>
  </cols>
  <sheetData>
    <row r="1">
      <c r="A1" s="203" t="s">
        <v>3</v>
      </c>
      <c r="F1" s="15"/>
      <c r="H1" s="501" t="s">
        <v>173</v>
      </c>
    </row>
    <row r="2">
      <c r="A2" s="225" t="s">
        <v>198</v>
      </c>
      <c r="B2" s="211"/>
      <c r="C2" s="211"/>
      <c r="D2" s="211"/>
      <c r="E2" s="211"/>
      <c r="F2" s="91"/>
      <c r="H2" s="502">
        <f>C23+C38+C49</f>
        <v>18882.5</v>
      </c>
    </row>
    <row r="3">
      <c r="A3" s="503">
        <v>32.5</v>
      </c>
      <c r="B3" s="228">
        <v>22.0</v>
      </c>
      <c r="C3" s="229" t="s">
        <v>477</v>
      </c>
      <c r="D3" s="230"/>
      <c r="E3" s="230"/>
      <c r="F3" s="110"/>
    </row>
    <row r="4">
      <c r="A4" s="232" t="s">
        <v>478</v>
      </c>
      <c r="B4" s="211"/>
      <c r="C4" s="211"/>
      <c r="D4" s="91"/>
      <c r="E4" s="504" t="s">
        <v>4</v>
      </c>
      <c r="F4" s="505" t="s">
        <v>24</v>
      </c>
    </row>
    <row r="5" ht="24.75" customHeight="1">
      <c r="A5" s="264" t="s">
        <v>176</v>
      </c>
      <c r="B5" s="265" t="s">
        <v>26</v>
      </c>
      <c r="C5" s="265" t="s">
        <v>119</v>
      </c>
      <c r="D5" s="235" t="s">
        <v>220</v>
      </c>
      <c r="E5" s="278" t="s">
        <v>253</v>
      </c>
      <c r="F5" s="336" t="s">
        <v>479</v>
      </c>
      <c r="G5" s="506"/>
      <c r="H5" s="506"/>
      <c r="I5" s="506"/>
      <c r="J5" s="506"/>
      <c r="K5" s="506"/>
      <c r="L5" s="506"/>
      <c r="M5" s="506"/>
      <c r="N5" s="506"/>
      <c r="O5" s="506"/>
      <c r="P5" s="506"/>
      <c r="Q5" s="506"/>
      <c r="R5" s="506"/>
      <c r="S5" s="506"/>
      <c r="T5" s="506"/>
      <c r="U5" s="506"/>
      <c r="V5" s="506"/>
      <c r="W5" s="506"/>
      <c r="X5" s="506"/>
      <c r="Y5" s="506"/>
      <c r="Z5" s="506"/>
    </row>
    <row r="6">
      <c r="A6" s="507" t="s">
        <v>33</v>
      </c>
      <c r="B6" s="508" t="s">
        <v>34</v>
      </c>
      <c r="C6" s="509">
        <f t="shared" ref="C6:C22" si="1">$A$3*$B$3</f>
        <v>715</v>
      </c>
      <c r="D6" s="510" t="s">
        <v>244</v>
      </c>
      <c r="E6" s="511" t="s">
        <v>481</v>
      </c>
      <c r="F6" s="512"/>
      <c r="G6" s="463"/>
      <c r="H6" s="463"/>
      <c r="I6" s="513"/>
    </row>
    <row r="7">
      <c r="A7" s="514" t="s">
        <v>35</v>
      </c>
      <c r="B7" s="508" t="s">
        <v>36</v>
      </c>
      <c r="C7" s="509">
        <f t="shared" si="1"/>
        <v>715</v>
      </c>
      <c r="D7" s="510" t="s">
        <v>244</v>
      </c>
      <c r="E7" s="511" t="s">
        <v>481</v>
      </c>
      <c r="F7" s="512"/>
      <c r="G7" s="455"/>
      <c r="H7" s="455"/>
      <c r="I7" s="515"/>
      <c r="J7" s="170"/>
      <c r="K7" s="170"/>
      <c r="L7" s="170"/>
      <c r="M7" s="170"/>
      <c r="N7" s="170"/>
      <c r="O7" s="170"/>
      <c r="P7" s="170"/>
      <c r="Q7" s="170"/>
      <c r="R7" s="170"/>
      <c r="S7" s="170"/>
      <c r="T7" s="170"/>
      <c r="U7" s="170"/>
      <c r="V7" s="170"/>
      <c r="W7" s="170"/>
      <c r="X7" s="170"/>
      <c r="Y7" s="170"/>
      <c r="Z7" s="170"/>
    </row>
    <row r="8">
      <c r="A8" s="516" t="s">
        <v>482</v>
      </c>
      <c r="B8" s="517" t="s">
        <v>483</v>
      </c>
      <c r="C8" s="509">
        <f t="shared" si="1"/>
        <v>715</v>
      </c>
      <c r="D8" s="510" t="s">
        <v>244</v>
      </c>
      <c r="E8" s="511" t="s">
        <v>481</v>
      </c>
      <c r="F8" s="512"/>
      <c r="G8" s="463"/>
      <c r="H8" s="463"/>
      <c r="I8" s="513"/>
    </row>
    <row r="9">
      <c r="A9" s="516" t="s">
        <v>100</v>
      </c>
      <c r="B9" s="517" t="s">
        <v>446</v>
      </c>
      <c r="C9" s="509">
        <f t="shared" si="1"/>
        <v>715</v>
      </c>
      <c r="D9" s="510" t="s">
        <v>244</v>
      </c>
      <c r="E9" s="511" t="s">
        <v>481</v>
      </c>
      <c r="F9" s="512"/>
      <c r="G9" s="463"/>
      <c r="H9" s="463"/>
      <c r="I9" s="513"/>
    </row>
    <row r="10">
      <c r="A10" s="516" t="s">
        <v>471</v>
      </c>
      <c r="B10" s="517" t="s">
        <v>423</v>
      </c>
      <c r="C10" s="509">
        <f t="shared" si="1"/>
        <v>715</v>
      </c>
      <c r="D10" s="510" t="s">
        <v>244</v>
      </c>
      <c r="E10" s="511" t="s">
        <v>481</v>
      </c>
      <c r="F10" s="512"/>
      <c r="G10" s="463"/>
      <c r="H10" s="463"/>
      <c r="I10" s="513"/>
    </row>
    <row r="11">
      <c r="A11" s="518" t="s">
        <v>234</v>
      </c>
      <c r="B11" s="519" t="s">
        <v>235</v>
      </c>
      <c r="C11" s="509">
        <f t="shared" si="1"/>
        <v>715</v>
      </c>
      <c r="D11" s="520" t="s">
        <v>244</v>
      </c>
      <c r="E11" s="511" t="s">
        <v>481</v>
      </c>
      <c r="F11" s="512"/>
      <c r="G11" s="463"/>
      <c r="H11" s="463"/>
      <c r="I11" s="513"/>
    </row>
    <row r="12">
      <c r="A12" s="521" t="s">
        <v>485</v>
      </c>
      <c r="B12" s="522" t="s">
        <v>486</v>
      </c>
      <c r="C12" s="509">
        <f t="shared" si="1"/>
        <v>715</v>
      </c>
      <c r="D12" s="520" t="s">
        <v>244</v>
      </c>
      <c r="E12" s="511" t="s">
        <v>481</v>
      </c>
      <c r="F12" s="523"/>
      <c r="G12" s="524"/>
      <c r="H12" s="524"/>
      <c r="I12" s="525"/>
      <c r="J12" s="526"/>
      <c r="K12" s="526"/>
      <c r="L12" s="526"/>
      <c r="M12" s="526"/>
      <c r="N12" s="526"/>
      <c r="O12" s="526"/>
      <c r="P12" s="526"/>
      <c r="Q12" s="526"/>
      <c r="R12" s="526"/>
      <c r="S12" s="526"/>
      <c r="T12" s="526"/>
      <c r="U12" s="526"/>
      <c r="V12" s="526"/>
      <c r="W12" s="526"/>
      <c r="X12" s="526"/>
      <c r="Y12" s="526"/>
      <c r="Z12" s="526"/>
    </row>
    <row r="13">
      <c r="A13" s="516" t="s">
        <v>488</v>
      </c>
      <c r="B13" s="490" t="s">
        <v>426</v>
      </c>
      <c r="C13" s="509">
        <f t="shared" si="1"/>
        <v>715</v>
      </c>
      <c r="D13" s="510" t="s">
        <v>244</v>
      </c>
      <c r="E13" s="511" t="s">
        <v>481</v>
      </c>
      <c r="F13" s="527"/>
      <c r="G13" s="451"/>
      <c r="H13" s="451"/>
      <c r="I13" s="513"/>
    </row>
    <row r="14">
      <c r="A14" s="528" t="s">
        <v>147</v>
      </c>
      <c r="B14" s="529" t="s">
        <v>148</v>
      </c>
      <c r="C14" s="509">
        <f t="shared" si="1"/>
        <v>715</v>
      </c>
      <c r="D14" s="510" t="s">
        <v>244</v>
      </c>
      <c r="E14" s="511" t="s">
        <v>481</v>
      </c>
      <c r="F14" s="512"/>
      <c r="G14" s="463"/>
      <c r="H14" s="463"/>
      <c r="I14" s="513"/>
    </row>
    <row r="15">
      <c r="A15" s="514" t="s">
        <v>61</v>
      </c>
      <c r="B15" s="508" t="s">
        <v>62</v>
      </c>
      <c r="C15" s="509">
        <f t="shared" si="1"/>
        <v>715</v>
      </c>
      <c r="D15" s="510" t="s">
        <v>244</v>
      </c>
      <c r="E15" s="511" t="s">
        <v>481</v>
      </c>
      <c r="F15" s="512"/>
      <c r="G15" s="455"/>
      <c r="H15" s="492"/>
      <c r="I15" s="515"/>
      <c r="J15" s="170"/>
      <c r="K15" s="170"/>
      <c r="L15" s="170"/>
      <c r="M15" s="170"/>
      <c r="N15" s="170"/>
      <c r="O15" s="170"/>
      <c r="P15" s="170"/>
      <c r="Q15" s="170"/>
      <c r="R15" s="170"/>
      <c r="S15" s="170"/>
      <c r="T15" s="170"/>
      <c r="U15" s="170"/>
      <c r="V15" s="170"/>
      <c r="W15" s="170"/>
      <c r="X15" s="170"/>
      <c r="Y15" s="170"/>
      <c r="Z15" s="170"/>
    </row>
    <row r="16">
      <c r="A16" s="518" t="s">
        <v>315</v>
      </c>
      <c r="B16" s="517" t="s">
        <v>325</v>
      </c>
      <c r="C16" s="509">
        <f t="shared" si="1"/>
        <v>715</v>
      </c>
      <c r="D16" s="510" t="s">
        <v>244</v>
      </c>
      <c r="E16" s="511" t="s">
        <v>481</v>
      </c>
      <c r="F16" s="530"/>
      <c r="G16" s="451"/>
      <c r="H16" s="451"/>
      <c r="I16" s="513"/>
    </row>
    <row r="17">
      <c r="A17" s="516" t="s">
        <v>430</v>
      </c>
      <c r="B17" s="517" t="s">
        <v>431</v>
      </c>
      <c r="C17" s="509">
        <f t="shared" si="1"/>
        <v>715</v>
      </c>
      <c r="D17" s="510" t="s">
        <v>244</v>
      </c>
      <c r="E17" s="511" t="s">
        <v>481</v>
      </c>
      <c r="F17" s="478"/>
      <c r="G17" s="451"/>
      <c r="H17" s="451"/>
      <c r="I17" s="513"/>
    </row>
    <row r="18">
      <c r="A18" s="516" t="s">
        <v>475</v>
      </c>
      <c r="B18" s="490" t="s">
        <v>454</v>
      </c>
      <c r="C18" s="509">
        <f t="shared" si="1"/>
        <v>715</v>
      </c>
      <c r="D18" s="510" t="s">
        <v>244</v>
      </c>
      <c r="E18" s="511" t="s">
        <v>481</v>
      </c>
      <c r="F18" s="478"/>
      <c r="G18" s="451"/>
      <c r="H18" s="451"/>
      <c r="I18" s="513"/>
    </row>
    <row r="19">
      <c r="A19" s="518" t="s">
        <v>171</v>
      </c>
      <c r="B19" s="517" t="s">
        <v>224</v>
      </c>
      <c r="C19" s="509">
        <f t="shared" si="1"/>
        <v>715</v>
      </c>
      <c r="D19" s="510" t="s">
        <v>244</v>
      </c>
      <c r="E19" s="511" t="s">
        <v>481</v>
      </c>
      <c r="F19" s="478"/>
      <c r="G19" s="451"/>
      <c r="H19" s="451"/>
      <c r="I19" s="513"/>
    </row>
    <row r="20">
      <c r="A20" s="516" t="s">
        <v>476</v>
      </c>
      <c r="B20" s="517" t="s">
        <v>201</v>
      </c>
      <c r="C20" s="509">
        <f t="shared" si="1"/>
        <v>715</v>
      </c>
      <c r="D20" s="510" t="s">
        <v>244</v>
      </c>
      <c r="E20" s="511" t="s">
        <v>481</v>
      </c>
      <c r="F20" s="512"/>
      <c r="G20" s="463"/>
      <c r="H20" s="463"/>
      <c r="I20" s="513"/>
    </row>
    <row r="21">
      <c r="A21" s="516" t="s">
        <v>455</v>
      </c>
      <c r="B21" s="490" t="s">
        <v>456</v>
      </c>
      <c r="C21" s="509">
        <f t="shared" si="1"/>
        <v>715</v>
      </c>
      <c r="D21" s="510" t="s">
        <v>244</v>
      </c>
      <c r="E21" s="511" t="s">
        <v>481</v>
      </c>
      <c r="F21" s="523"/>
      <c r="G21" s="451"/>
      <c r="H21" s="451"/>
      <c r="I21" s="513"/>
    </row>
    <row r="22">
      <c r="A22" s="531" t="s">
        <v>77</v>
      </c>
      <c r="B22" s="532" t="s">
        <v>78</v>
      </c>
      <c r="C22" s="533">
        <f t="shared" si="1"/>
        <v>715</v>
      </c>
      <c r="D22" s="534" t="s">
        <v>244</v>
      </c>
      <c r="E22" s="535" t="s">
        <v>481</v>
      </c>
      <c r="F22" s="536"/>
      <c r="G22" s="451"/>
      <c r="H22" s="451"/>
      <c r="I22" s="513"/>
    </row>
    <row r="23">
      <c r="A23" s="324" t="s">
        <v>288</v>
      </c>
      <c r="B23" s="325"/>
      <c r="C23" s="537">
        <f>SUM(C6:C22)</f>
        <v>12155</v>
      </c>
      <c r="D23" s="321"/>
      <c r="E23" s="321"/>
      <c r="F23" s="327"/>
      <c r="G23" s="513"/>
      <c r="H23" s="513"/>
      <c r="I23" s="513"/>
    </row>
    <row r="24">
      <c r="A24" s="538"/>
      <c r="B24" s="539"/>
      <c r="C24" s="540"/>
      <c r="D24" s="541"/>
      <c r="E24" s="541"/>
      <c r="F24" s="542"/>
      <c r="G24" s="287"/>
    </row>
    <row r="25">
      <c r="A25" s="543"/>
      <c r="B25" s="544"/>
      <c r="C25" s="545"/>
      <c r="D25" s="546"/>
      <c r="E25" s="546"/>
      <c r="F25" s="546"/>
      <c r="G25" s="170"/>
      <c r="H25" s="170"/>
      <c r="I25" s="170"/>
      <c r="J25" s="170"/>
      <c r="K25" s="170"/>
      <c r="L25" s="170"/>
      <c r="M25" s="170"/>
      <c r="N25" s="170"/>
      <c r="O25" s="170"/>
      <c r="P25" s="170"/>
      <c r="Q25" s="170"/>
      <c r="R25" s="170"/>
      <c r="S25" s="170"/>
      <c r="T25" s="170"/>
      <c r="U25" s="170"/>
      <c r="V25" s="170"/>
      <c r="W25" s="170"/>
      <c r="X25" s="170"/>
      <c r="Y25" s="170"/>
      <c r="Z25" s="170"/>
    </row>
    <row r="26">
      <c r="A26" s="547" t="s">
        <v>3</v>
      </c>
      <c r="B26" s="211"/>
      <c r="C26" s="211"/>
      <c r="D26" s="211"/>
      <c r="E26" s="211"/>
      <c r="F26" s="91"/>
      <c r="G26" s="170"/>
      <c r="H26" s="170"/>
      <c r="I26" s="170"/>
      <c r="J26" s="170"/>
      <c r="K26" s="170"/>
      <c r="L26" s="170"/>
      <c r="M26" s="170"/>
      <c r="N26" s="170"/>
      <c r="O26" s="170"/>
      <c r="P26" s="170"/>
      <c r="Q26" s="170"/>
      <c r="R26" s="170"/>
      <c r="S26" s="170"/>
      <c r="T26" s="170"/>
      <c r="U26" s="170"/>
      <c r="V26" s="170"/>
      <c r="W26" s="170"/>
      <c r="X26" s="170"/>
      <c r="Y26" s="170"/>
      <c r="Z26" s="170"/>
    </row>
    <row r="27">
      <c r="A27" s="225" t="s">
        <v>188</v>
      </c>
      <c r="B27" s="211"/>
      <c r="C27" s="211"/>
      <c r="D27" s="211"/>
      <c r="E27" s="211"/>
      <c r="F27" s="91"/>
      <c r="G27" s="170"/>
      <c r="H27" s="170"/>
      <c r="I27" s="170"/>
      <c r="J27" s="170"/>
      <c r="K27" s="170"/>
      <c r="L27" s="170"/>
      <c r="M27" s="170"/>
      <c r="N27" s="170"/>
      <c r="O27" s="170"/>
      <c r="P27" s="170"/>
      <c r="Q27" s="170"/>
      <c r="R27" s="170"/>
      <c r="S27" s="170"/>
      <c r="T27" s="170"/>
      <c r="U27" s="170"/>
      <c r="V27" s="170"/>
      <c r="W27" s="170"/>
      <c r="X27" s="170"/>
      <c r="Y27" s="170"/>
      <c r="Z27" s="170"/>
    </row>
    <row r="28">
      <c r="A28" s="548">
        <v>32.5</v>
      </c>
      <c r="B28" s="549">
        <v>22.0</v>
      </c>
      <c r="C28" s="550" t="s">
        <v>477</v>
      </c>
      <c r="D28" s="551" t="s">
        <v>117</v>
      </c>
      <c r="E28" s="551"/>
      <c r="F28" s="552"/>
      <c r="G28" s="170"/>
      <c r="H28" s="170"/>
      <c r="I28" s="170"/>
      <c r="J28" s="170"/>
      <c r="K28" s="170"/>
      <c r="L28" s="170"/>
      <c r="M28" s="170"/>
      <c r="N28" s="170"/>
      <c r="O28" s="170"/>
      <c r="P28" s="170"/>
      <c r="Q28" s="170"/>
      <c r="R28" s="170"/>
      <c r="S28" s="170"/>
      <c r="T28" s="170"/>
      <c r="U28" s="170"/>
      <c r="V28" s="170"/>
      <c r="W28" s="170"/>
      <c r="X28" s="170"/>
      <c r="Y28" s="170"/>
      <c r="Z28" s="170"/>
    </row>
    <row r="29">
      <c r="A29" s="232" t="s">
        <v>478</v>
      </c>
      <c r="B29" s="211"/>
      <c r="C29" s="211"/>
      <c r="D29" s="91"/>
      <c r="E29" s="553" t="s">
        <v>4</v>
      </c>
      <c r="F29" s="554" t="s">
        <v>24</v>
      </c>
      <c r="G29" s="170"/>
      <c r="H29" s="170"/>
      <c r="I29" s="170"/>
      <c r="J29" s="170"/>
      <c r="K29" s="170"/>
      <c r="L29" s="170"/>
      <c r="M29" s="170"/>
      <c r="N29" s="170"/>
      <c r="O29" s="170"/>
      <c r="P29" s="170"/>
      <c r="Q29" s="170"/>
      <c r="R29" s="170"/>
      <c r="S29" s="170"/>
      <c r="T29" s="170"/>
      <c r="U29" s="170"/>
      <c r="V29" s="170"/>
      <c r="W29" s="170"/>
      <c r="X29" s="170"/>
      <c r="Y29" s="170"/>
      <c r="Z29" s="170"/>
    </row>
    <row r="30">
      <c r="A30" s="264" t="s">
        <v>176</v>
      </c>
      <c r="B30" s="265" t="s">
        <v>26</v>
      </c>
      <c r="C30" s="265" t="s">
        <v>119</v>
      </c>
      <c r="D30" s="235" t="s">
        <v>220</v>
      </c>
      <c r="E30" s="278" t="s">
        <v>253</v>
      </c>
      <c r="F30" s="336" t="s">
        <v>479</v>
      </c>
      <c r="G30" s="555"/>
      <c r="H30" s="555"/>
      <c r="I30" s="555"/>
      <c r="J30" s="555"/>
      <c r="K30" s="555"/>
      <c r="L30" s="555"/>
      <c r="M30" s="555"/>
      <c r="N30" s="555"/>
      <c r="O30" s="555"/>
      <c r="P30" s="555"/>
      <c r="Q30" s="555"/>
      <c r="R30" s="555"/>
      <c r="S30" s="555"/>
      <c r="T30" s="555"/>
      <c r="U30" s="555"/>
      <c r="V30" s="555"/>
      <c r="W30" s="555"/>
      <c r="X30" s="555"/>
      <c r="Y30" s="555"/>
      <c r="Z30" s="555"/>
    </row>
    <row r="31">
      <c r="A31" s="386" t="s">
        <v>480</v>
      </c>
      <c r="B31" s="387" t="s">
        <v>239</v>
      </c>
      <c r="C31" s="509">
        <f t="shared" ref="C31:C32" si="2">$A$28*$B$3</f>
        <v>715</v>
      </c>
      <c r="D31" s="389" t="s">
        <v>244</v>
      </c>
      <c r="E31" s="390" t="s">
        <v>494</v>
      </c>
      <c r="F31" s="391"/>
      <c r="G31" s="170"/>
      <c r="H31" s="170"/>
      <c r="I31" s="170"/>
      <c r="J31" s="170"/>
      <c r="K31" s="170"/>
      <c r="L31" s="170"/>
      <c r="M31" s="170"/>
      <c r="N31" s="170"/>
      <c r="O31" s="170"/>
      <c r="P31" s="170"/>
      <c r="Q31" s="170"/>
      <c r="R31" s="170"/>
      <c r="S31" s="170"/>
      <c r="T31" s="170"/>
      <c r="U31" s="170"/>
      <c r="V31" s="170"/>
      <c r="W31" s="170"/>
      <c r="X31" s="170"/>
      <c r="Y31" s="170"/>
      <c r="Z31" s="170"/>
    </row>
    <row r="32">
      <c r="A32" s="392" t="s">
        <v>363</v>
      </c>
      <c r="B32" s="387" t="s">
        <v>364</v>
      </c>
      <c r="C32" s="509">
        <f t="shared" si="2"/>
        <v>715</v>
      </c>
      <c r="D32" s="389" t="s">
        <v>244</v>
      </c>
      <c r="E32" s="390" t="s">
        <v>494</v>
      </c>
      <c r="F32" s="450"/>
    </row>
    <row r="33">
      <c r="A33" s="392" t="s">
        <v>484</v>
      </c>
      <c r="B33" s="393" t="s">
        <v>250</v>
      </c>
      <c r="C33" s="509">
        <f>32.5*9</f>
        <v>292.5</v>
      </c>
      <c r="D33" s="396" t="s">
        <v>244</v>
      </c>
      <c r="E33" s="390" t="s">
        <v>494</v>
      </c>
      <c r="F33" s="478" t="s">
        <v>495</v>
      </c>
    </row>
    <row r="34">
      <c r="A34" s="400" t="s">
        <v>80</v>
      </c>
      <c r="B34" s="402" t="s">
        <v>81</v>
      </c>
      <c r="C34" s="509">
        <f t="shared" ref="C34:C37" si="3">$A$28*$B$3</f>
        <v>715</v>
      </c>
      <c r="D34" s="396" t="s">
        <v>244</v>
      </c>
      <c r="E34" s="390" t="s">
        <v>494</v>
      </c>
      <c r="F34" s="480" t="s">
        <v>497</v>
      </c>
    </row>
    <row r="35">
      <c r="A35" s="400" t="s">
        <v>59</v>
      </c>
      <c r="B35" s="402" t="s">
        <v>60</v>
      </c>
      <c r="C35" s="509">
        <f t="shared" si="3"/>
        <v>715</v>
      </c>
      <c r="D35" s="396" t="s">
        <v>244</v>
      </c>
      <c r="E35" s="390" t="s">
        <v>494</v>
      </c>
      <c r="F35" s="405"/>
    </row>
    <row r="36">
      <c r="A36" s="386" t="s">
        <v>487</v>
      </c>
      <c r="B36" s="389" t="s">
        <v>395</v>
      </c>
      <c r="C36" s="509">
        <f t="shared" si="3"/>
        <v>715</v>
      </c>
      <c r="D36" s="396" t="s">
        <v>244</v>
      </c>
      <c r="E36" s="390" t="s">
        <v>494</v>
      </c>
      <c r="F36" s="450"/>
    </row>
    <row r="37">
      <c r="A37" s="406" t="s">
        <v>134</v>
      </c>
      <c r="B37" s="389" t="s">
        <v>135</v>
      </c>
      <c r="C37" s="509">
        <f t="shared" si="3"/>
        <v>715</v>
      </c>
      <c r="D37" s="389" t="s">
        <v>244</v>
      </c>
      <c r="E37" s="390" t="s">
        <v>494</v>
      </c>
      <c r="F37" s="478"/>
    </row>
    <row r="38">
      <c r="A38" s="290" t="s">
        <v>288</v>
      </c>
      <c r="B38" s="290"/>
      <c r="C38" s="537">
        <f>SUM(C31:C37)</f>
        <v>4582.5</v>
      </c>
      <c r="D38" s="218"/>
      <c r="E38" s="218"/>
      <c r="F38" s="218"/>
    </row>
    <row r="39">
      <c r="A39" s="557"/>
      <c r="B39" s="557"/>
      <c r="C39" s="557"/>
      <c r="D39" s="557"/>
      <c r="E39" s="557"/>
      <c r="F39" s="557"/>
    </row>
    <row r="40">
      <c r="A40" s="558"/>
      <c r="B40" s="558"/>
      <c r="C40" s="558"/>
      <c r="D40" s="558"/>
      <c r="E40" s="558"/>
      <c r="F40" s="558"/>
    </row>
    <row r="41">
      <c r="A41" s="547" t="s">
        <v>3</v>
      </c>
      <c r="B41" s="211"/>
      <c r="C41" s="211"/>
      <c r="D41" s="211"/>
      <c r="E41" s="211"/>
      <c r="F41" s="91"/>
    </row>
    <row r="42">
      <c r="A42" s="225" t="s">
        <v>460</v>
      </c>
      <c r="B42" s="211"/>
      <c r="C42" s="211"/>
      <c r="D42" s="211"/>
      <c r="E42" s="211"/>
      <c r="F42" s="91"/>
    </row>
    <row r="43">
      <c r="A43" s="548">
        <v>32.5</v>
      </c>
      <c r="B43" s="549">
        <v>22.0</v>
      </c>
      <c r="C43" s="229" t="s">
        <v>477</v>
      </c>
      <c r="D43" s="551" t="s">
        <v>117</v>
      </c>
      <c r="E43" s="551"/>
      <c r="F43" s="552"/>
    </row>
    <row r="44">
      <c r="A44" s="232" t="s">
        <v>478</v>
      </c>
      <c r="B44" s="211"/>
      <c r="C44" s="211"/>
      <c r="D44" s="91"/>
      <c r="E44" s="553" t="s">
        <v>4</v>
      </c>
      <c r="F44" s="554" t="s">
        <v>24</v>
      </c>
    </row>
    <row r="45">
      <c r="A45" s="264" t="s">
        <v>176</v>
      </c>
      <c r="B45" s="264" t="s">
        <v>26</v>
      </c>
      <c r="C45" s="264" t="s">
        <v>119</v>
      </c>
      <c r="D45" s="559" t="s">
        <v>220</v>
      </c>
      <c r="E45" s="559" t="s">
        <v>253</v>
      </c>
      <c r="F45" s="560" t="s">
        <v>479</v>
      </c>
    </row>
    <row r="46">
      <c r="A46" s="392" t="s">
        <v>489</v>
      </c>
      <c r="B46" s="499" t="s">
        <v>463</v>
      </c>
      <c r="C46" s="562">
        <f t="shared" ref="C46:C48" si="4">$A$43*$B$3</f>
        <v>715</v>
      </c>
      <c r="D46" s="389" t="s">
        <v>244</v>
      </c>
      <c r="E46" s="389" t="s">
        <v>466</v>
      </c>
      <c r="F46" s="563"/>
    </row>
    <row r="47">
      <c r="A47" s="392" t="s">
        <v>492</v>
      </c>
      <c r="B47" s="387" t="s">
        <v>500</v>
      </c>
      <c r="C47" s="562">
        <f t="shared" si="4"/>
        <v>715</v>
      </c>
      <c r="D47" s="389" t="s">
        <v>244</v>
      </c>
      <c r="E47" s="389" t="s">
        <v>466</v>
      </c>
      <c r="F47" s="563"/>
    </row>
    <row r="48">
      <c r="A48" s="392" t="s">
        <v>501</v>
      </c>
      <c r="B48" s="387" t="s">
        <v>502</v>
      </c>
      <c r="C48" s="562">
        <f t="shared" si="4"/>
        <v>715</v>
      </c>
      <c r="D48" s="389" t="s">
        <v>244</v>
      </c>
      <c r="E48" s="389" t="s">
        <v>466</v>
      </c>
      <c r="F48" s="563"/>
    </row>
    <row r="49">
      <c r="A49" s="290" t="s">
        <v>288</v>
      </c>
      <c r="B49" s="290"/>
      <c r="C49" s="537">
        <f>SUM(C46:C48)</f>
        <v>2145</v>
      </c>
      <c r="D49" s="218"/>
      <c r="E49" s="218"/>
      <c r="F49" s="218"/>
    </row>
  </sheetData>
  <mergeCells count="10">
    <mergeCell ref="A41:F41"/>
    <mergeCell ref="A42:F42"/>
    <mergeCell ref="A44:D44"/>
    <mergeCell ref="A1:F1"/>
    <mergeCell ref="A2:F2"/>
    <mergeCell ref="A4:D4"/>
    <mergeCell ref="A25:B25"/>
    <mergeCell ref="A26:F26"/>
    <mergeCell ref="A27:F27"/>
    <mergeCell ref="A29:D29"/>
  </mergeCells>
  <printOptions gridLines="1" horizontalCentered="1"/>
  <pageMargins bottom="0.75" footer="0.0" header="0.0" left="0.7" right="0.7" top="0.75"/>
  <pageSetup paperSize="9" scale="85" cellComments="atEnd" orientation="landscape" pageOrder="overThenDown"/>
  <drawing r:id="rId1"/>
  <tableParts count="3">
    <tablePart r:id="rId5"/>
    <tablePart r:id="rId6"/>
    <tablePart r:id="rId7"/>
  </tableParts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31.0"/>
    <col customWidth="1" min="2" max="2" width="11.63"/>
    <col customWidth="1" min="3" max="3" width="11.75"/>
    <col customWidth="1" min="4" max="4" width="11.63"/>
    <col customWidth="1" min="5" max="5" width="14.88"/>
    <col customWidth="1" min="6" max="6" width="58.25"/>
    <col customWidth="1" min="8" max="8" width="13.0"/>
  </cols>
  <sheetData>
    <row r="1">
      <c r="A1" s="203" t="s">
        <v>3</v>
      </c>
      <c r="F1" s="15"/>
      <c r="H1" s="501" t="s">
        <v>173</v>
      </c>
    </row>
    <row r="2">
      <c r="A2" s="225" t="s">
        <v>198</v>
      </c>
      <c r="B2" s="211"/>
      <c r="C2" s="211"/>
      <c r="D2" s="211"/>
      <c r="E2" s="211"/>
      <c r="F2" s="91"/>
      <c r="H2" s="502">
        <f>C23+C38+C48</f>
        <v>15795</v>
      </c>
    </row>
    <row r="3">
      <c r="A3" s="503">
        <v>32.5</v>
      </c>
      <c r="B3" s="228">
        <v>21.0</v>
      </c>
      <c r="C3" s="229" t="s">
        <v>477</v>
      </c>
      <c r="D3" s="230"/>
      <c r="E3" s="230"/>
      <c r="F3" s="110"/>
    </row>
    <row r="4">
      <c r="A4" s="232" t="s">
        <v>490</v>
      </c>
      <c r="B4" s="211"/>
      <c r="C4" s="211"/>
      <c r="D4" s="91"/>
      <c r="E4" s="504" t="s">
        <v>491</v>
      </c>
      <c r="F4" s="505" t="s">
        <v>24</v>
      </c>
    </row>
    <row r="5" ht="24.75" customHeight="1">
      <c r="A5" s="264" t="s">
        <v>176</v>
      </c>
      <c r="B5" s="265" t="s">
        <v>26</v>
      </c>
      <c r="C5" s="265" t="s">
        <v>119</v>
      </c>
      <c r="D5" s="235" t="s">
        <v>220</v>
      </c>
      <c r="E5" s="278" t="s">
        <v>253</v>
      </c>
      <c r="F5" s="336" t="s">
        <v>479</v>
      </c>
      <c r="G5" s="506"/>
      <c r="H5" s="506"/>
      <c r="I5" s="506"/>
      <c r="J5" s="506"/>
      <c r="K5" s="506"/>
      <c r="L5" s="506"/>
      <c r="M5" s="506"/>
      <c r="N5" s="506"/>
      <c r="O5" s="506"/>
      <c r="P5" s="506"/>
      <c r="Q5" s="506"/>
      <c r="R5" s="506"/>
      <c r="S5" s="506"/>
      <c r="T5" s="506"/>
      <c r="U5" s="506"/>
      <c r="V5" s="506"/>
      <c r="W5" s="506"/>
      <c r="X5" s="506"/>
      <c r="Y5" s="506"/>
      <c r="Z5" s="506"/>
    </row>
    <row r="6">
      <c r="A6" s="507" t="s">
        <v>33</v>
      </c>
      <c r="B6" s="508" t="s">
        <v>34</v>
      </c>
      <c r="C6" s="509">
        <f>$A$3*$B$3</f>
        <v>682.5</v>
      </c>
      <c r="D6" s="510" t="s">
        <v>244</v>
      </c>
      <c r="E6" s="511" t="s">
        <v>481</v>
      </c>
      <c r="F6" s="512"/>
      <c r="G6" s="463"/>
      <c r="H6" s="463"/>
      <c r="I6" s="513"/>
    </row>
    <row r="7">
      <c r="A7" s="514" t="s">
        <v>35</v>
      </c>
      <c r="B7" s="508" t="s">
        <v>36</v>
      </c>
      <c r="C7" s="509">
        <f>$A$3*0</f>
        <v>0</v>
      </c>
      <c r="D7" s="510" t="s">
        <v>244</v>
      </c>
      <c r="E7" s="511" t="s">
        <v>481</v>
      </c>
      <c r="F7" s="512" t="s">
        <v>493</v>
      </c>
      <c r="G7" s="455"/>
      <c r="H7" s="455"/>
      <c r="I7" s="515"/>
      <c r="J7" s="170"/>
      <c r="K7" s="170"/>
      <c r="L7" s="170"/>
      <c r="M7" s="170"/>
      <c r="N7" s="170"/>
      <c r="O7" s="170"/>
      <c r="P7" s="170"/>
      <c r="Q7" s="170"/>
      <c r="R7" s="170"/>
      <c r="S7" s="170"/>
      <c r="T7" s="170"/>
      <c r="U7" s="170"/>
      <c r="V7" s="170"/>
      <c r="W7" s="170"/>
      <c r="X7" s="170"/>
      <c r="Y7" s="170"/>
      <c r="Z7" s="170"/>
    </row>
    <row r="8">
      <c r="A8" s="516" t="s">
        <v>482</v>
      </c>
      <c r="B8" s="517" t="s">
        <v>483</v>
      </c>
      <c r="C8" s="509">
        <f t="shared" ref="C8:C13" si="1">$A$3*$B$3</f>
        <v>682.5</v>
      </c>
      <c r="D8" s="510" t="s">
        <v>244</v>
      </c>
      <c r="E8" s="511" t="s">
        <v>481</v>
      </c>
      <c r="F8" s="512"/>
      <c r="G8" s="463"/>
      <c r="H8" s="463"/>
      <c r="I8" s="513"/>
    </row>
    <row r="9">
      <c r="A9" s="516" t="s">
        <v>100</v>
      </c>
      <c r="B9" s="517" t="s">
        <v>446</v>
      </c>
      <c r="C9" s="509">
        <f t="shared" si="1"/>
        <v>682.5</v>
      </c>
      <c r="D9" s="510" t="s">
        <v>244</v>
      </c>
      <c r="E9" s="511" t="s">
        <v>481</v>
      </c>
      <c r="F9" s="512"/>
      <c r="G9" s="463"/>
      <c r="H9" s="463"/>
      <c r="I9" s="513"/>
    </row>
    <row r="10">
      <c r="A10" s="516" t="s">
        <v>471</v>
      </c>
      <c r="B10" s="517" t="s">
        <v>423</v>
      </c>
      <c r="C10" s="509">
        <f t="shared" si="1"/>
        <v>682.5</v>
      </c>
      <c r="D10" s="510" t="s">
        <v>244</v>
      </c>
      <c r="E10" s="511" t="s">
        <v>481</v>
      </c>
      <c r="F10" s="512"/>
      <c r="G10" s="463"/>
      <c r="H10" s="463"/>
      <c r="I10" s="513"/>
    </row>
    <row r="11">
      <c r="A11" s="518" t="s">
        <v>234</v>
      </c>
      <c r="B11" s="519" t="s">
        <v>235</v>
      </c>
      <c r="C11" s="509">
        <f t="shared" si="1"/>
        <v>682.5</v>
      </c>
      <c r="D11" s="520" t="s">
        <v>244</v>
      </c>
      <c r="E11" s="511" t="s">
        <v>481</v>
      </c>
      <c r="F11" s="512"/>
      <c r="G11" s="463"/>
      <c r="H11" s="463"/>
      <c r="I11" s="513"/>
    </row>
    <row r="12">
      <c r="A12" s="521" t="s">
        <v>485</v>
      </c>
      <c r="B12" s="522" t="s">
        <v>486</v>
      </c>
      <c r="C12" s="509">
        <f t="shared" si="1"/>
        <v>682.5</v>
      </c>
      <c r="D12" s="520" t="s">
        <v>244</v>
      </c>
      <c r="E12" s="511" t="s">
        <v>481</v>
      </c>
      <c r="F12" s="523"/>
      <c r="G12" s="524"/>
      <c r="H12" s="524"/>
      <c r="I12" s="525"/>
      <c r="J12" s="526"/>
      <c r="K12" s="526"/>
      <c r="L12" s="526"/>
      <c r="M12" s="526"/>
      <c r="N12" s="526"/>
      <c r="O12" s="526"/>
      <c r="P12" s="526"/>
      <c r="Q12" s="526"/>
      <c r="R12" s="526"/>
      <c r="S12" s="526"/>
      <c r="T12" s="526"/>
      <c r="U12" s="526"/>
      <c r="V12" s="526"/>
      <c r="W12" s="526"/>
      <c r="X12" s="526"/>
      <c r="Y12" s="526"/>
      <c r="Z12" s="526"/>
    </row>
    <row r="13">
      <c r="A13" s="516" t="s">
        <v>488</v>
      </c>
      <c r="B13" s="490" t="s">
        <v>426</v>
      </c>
      <c r="C13" s="509">
        <f t="shared" si="1"/>
        <v>682.5</v>
      </c>
      <c r="D13" s="510" t="s">
        <v>244</v>
      </c>
      <c r="E13" s="511" t="s">
        <v>481</v>
      </c>
      <c r="F13" s="527"/>
      <c r="G13" s="451"/>
      <c r="H13" s="451"/>
      <c r="I13" s="513"/>
    </row>
    <row r="14">
      <c r="A14" s="528" t="s">
        <v>147</v>
      </c>
      <c r="B14" s="529" t="s">
        <v>148</v>
      </c>
      <c r="C14" s="556">
        <f>$A$3*20</f>
        <v>650</v>
      </c>
      <c r="D14" s="510" t="s">
        <v>244</v>
      </c>
      <c r="E14" s="511" t="s">
        <v>481</v>
      </c>
      <c r="F14" s="523" t="s">
        <v>496</v>
      </c>
      <c r="G14" s="463"/>
      <c r="H14" s="463"/>
      <c r="I14" s="513"/>
    </row>
    <row r="15">
      <c r="A15" s="514" t="s">
        <v>61</v>
      </c>
      <c r="B15" s="508" t="s">
        <v>62</v>
      </c>
      <c r="C15" s="509">
        <f>$A$3*$B$3</f>
        <v>682.5</v>
      </c>
      <c r="D15" s="510" t="s">
        <v>244</v>
      </c>
      <c r="E15" s="511" t="s">
        <v>481</v>
      </c>
      <c r="F15" s="512"/>
      <c r="G15" s="455"/>
      <c r="H15" s="492"/>
      <c r="I15" s="515"/>
      <c r="J15" s="170"/>
      <c r="K15" s="170"/>
      <c r="L15" s="170"/>
      <c r="M15" s="170"/>
      <c r="N15" s="170"/>
      <c r="O15" s="170"/>
      <c r="P15" s="170"/>
      <c r="Q15" s="170"/>
      <c r="R15" s="170"/>
      <c r="S15" s="170"/>
      <c r="T15" s="170"/>
      <c r="U15" s="170"/>
      <c r="V15" s="170"/>
      <c r="W15" s="170"/>
      <c r="X15" s="170"/>
      <c r="Y15" s="170"/>
      <c r="Z15" s="170"/>
    </row>
    <row r="16">
      <c r="A16" s="518" t="s">
        <v>315</v>
      </c>
      <c r="B16" s="517" t="s">
        <v>325</v>
      </c>
      <c r="C16" s="556">
        <f>$A$3*20</f>
        <v>650</v>
      </c>
      <c r="D16" s="510" t="s">
        <v>244</v>
      </c>
      <c r="E16" s="511" t="s">
        <v>481</v>
      </c>
      <c r="F16" s="523" t="s">
        <v>498</v>
      </c>
      <c r="G16" s="451"/>
      <c r="H16" s="451"/>
      <c r="I16" s="513"/>
    </row>
    <row r="17">
      <c r="A17" s="516" t="s">
        <v>430</v>
      </c>
      <c r="B17" s="517" t="s">
        <v>431</v>
      </c>
      <c r="C17" s="509">
        <f t="shared" ref="C17:C18" si="2">$A$3*$B$3</f>
        <v>682.5</v>
      </c>
      <c r="D17" s="510" t="s">
        <v>244</v>
      </c>
      <c r="E17" s="511" t="s">
        <v>481</v>
      </c>
      <c r="F17" s="478"/>
      <c r="G17" s="451"/>
      <c r="H17" s="451"/>
      <c r="I17" s="513"/>
    </row>
    <row r="18">
      <c r="A18" s="516" t="s">
        <v>475</v>
      </c>
      <c r="B18" s="490" t="s">
        <v>454</v>
      </c>
      <c r="C18" s="509">
        <f t="shared" si="2"/>
        <v>682.5</v>
      </c>
      <c r="D18" s="510" t="s">
        <v>244</v>
      </c>
      <c r="E18" s="511" t="s">
        <v>481</v>
      </c>
      <c r="F18" s="478"/>
      <c r="G18" s="451"/>
      <c r="H18" s="451"/>
      <c r="I18" s="513"/>
    </row>
    <row r="19">
      <c r="A19" s="518" t="s">
        <v>171</v>
      </c>
      <c r="B19" s="517" t="s">
        <v>224</v>
      </c>
      <c r="C19" s="556">
        <f>$A$3*20</f>
        <v>650</v>
      </c>
      <c r="D19" s="510" t="s">
        <v>244</v>
      </c>
      <c r="E19" s="511" t="s">
        <v>481</v>
      </c>
      <c r="F19" s="523" t="s">
        <v>499</v>
      </c>
      <c r="G19" s="451"/>
      <c r="H19" s="451"/>
      <c r="I19" s="513"/>
    </row>
    <row r="20">
      <c r="A20" s="516" t="s">
        <v>476</v>
      </c>
      <c r="B20" s="517" t="s">
        <v>201</v>
      </c>
      <c r="C20" s="509">
        <f>$A$3*0</f>
        <v>0</v>
      </c>
      <c r="D20" s="510" t="s">
        <v>244</v>
      </c>
      <c r="E20" s="511" t="s">
        <v>481</v>
      </c>
      <c r="F20" s="512" t="s">
        <v>493</v>
      </c>
      <c r="G20" s="463"/>
      <c r="H20" s="463"/>
      <c r="I20" s="513"/>
    </row>
    <row r="21">
      <c r="A21" s="516" t="s">
        <v>455</v>
      </c>
      <c r="B21" s="490" t="s">
        <v>456</v>
      </c>
      <c r="C21" s="509">
        <f t="shared" ref="C21:C22" si="3">$A$3*$B$3</f>
        <v>682.5</v>
      </c>
      <c r="D21" s="510" t="s">
        <v>244</v>
      </c>
      <c r="E21" s="511" t="s">
        <v>481</v>
      </c>
      <c r="F21" s="523"/>
      <c r="G21" s="451"/>
      <c r="H21" s="451"/>
      <c r="I21" s="513"/>
    </row>
    <row r="22">
      <c r="A22" s="531" t="s">
        <v>77</v>
      </c>
      <c r="B22" s="532" t="s">
        <v>78</v>
      </c>
      <c r="C22" s="533">
        <f t="shared" si="3"/>
        <v>682.5</v>
      </c>
      <c r="D22" s="534" t="s">
        <v>244</v>
      </c>
      <c r="E22" s="535" t="s">
        <v>481</v>
      </c>
      <c r="F22" s="536"/>
      <c r="G22" s="451"/>
      <c r="H22" s="451"/>
      <c r="I22" s="513"/>
    </row>
    <row r="23">
      <c r="A23" s="324" t="s">
        <v>288</v>
      </c>
      <c r="B23" s="325"/>
      <c r="C23" s="561">
        <f>SUM(C6:C22)</f>
        <v>10140</v>
      </c>
      <c r="D23" s="321"/>
      <c r="E23" s="321"/>
      <c r="F23" s="327"/>
      <c r="G23" s="513"/>
      <c r="H23" s="513"/>
      <c r="I23" s="513"/>
    </row>
    <row r="24">
      <c r="A24" s="538"/>
      <c r="B24" s="539"/>
      <c r="C24" s="564"/>
      <c r="D24" s="541"/>
      <c r="E24" s="541"/>
      <c r="F24" s="542"/>
      <c r="G24" s="287"/>
    </row>
    <row r="25">
      <c r="A25" s="543"/>
      <c r="B25" s="544"/>
      <c r="C25" s="565"/>
      <c r="D25" s="546"/>
      <c r="E25" s="546"/>
      <c r="F25" s="546"/>
      <c r="G25" s="170"/>
      <c r="H25" s="170"/>
      <c r="I25" s="170"/>
      <c r="J25" s="170"/>
      <c r="K25" s="170"/>
      <c r="L25" s="170"/>
      <c r="M25" s="170"/>
      <c r="N25" s="170"/>
      <c r="O25" s="170"/>
      <c r="P25" s="170"/>
      <c r="Q25" s="170"/>
      <c r="R25" s="170"/>
      <c r="S25" s="170"/>
      <c r="T25" s="170"/>
      <c r="U25" s="170"/>
      <c r="V25" s="170"/>
      <c r="W25" s="170"/>
      <c r="X25" s="170"/>
      <c r="Y25" s="170"/>
      <c r="Z25" s="170"/>
    </row>
    <row r="26">
      <c r="A26" s="547" t="s">
        <v>3</v>
      </c>
      <c r="B26" s="211"/>
      <c r="C26" s="211"/>
      <c r="D26" s="211"/>
      <c r="E26" s="211"/>
      <c r="F26" s="91"/>
      <c r="G26" s="170"/>
      <c r="H26" s="170"/>
      <c r="I26" s="170"/>
      <c r="J26" s="170"/>
      <c r="K26" s="170"/>
      <c r="L26" s="170"/>
      <c r="M26" s="170"/>
      <c r="N26" s="170"/>
      <c r="O26" s="170"/>
      <c r="P26" s="170"/>
      <c r="Q26" s="170"/>
      <c r="R26" s="170"/>
      <c r="S26" s="170"/>
      <c r="T26" s="170"/>
      <c r="U26" s="170"/>
      <c r="V26" s="170"/>
      <c r="W26" s="170"/>
      <c r="X26" s="170"/>
      <c r="Y26" s="170"/>
      <c r="Z26" s="170"/>
    </row>
    <row r="27">
      <c r="A27" s="225" t="s">
        <v>188</v>
      </c>
      <c r="B27" s="211"/>
      <c r="C27" s="211"/>
      <c r="D27" s="211"/>
      <c r="E27" s="211"/>
      <c r="F27" s="91"/>
      <c r="G27" s="170"/>
      <c r="H27" s="170"/>
      <c r="I27" s="170"/>
      <c r="J27" s="170"/>
      <c r="K27" s="170"/>
      <c r="L27" s="170"/>
      <c r="M27" s="170"/>
      <c r="N27" s="170"/>
      <c r="O27" s="170"/>
      <c r="P27" s="170"/>
      <c r="Q27" s="170"/>
      <c r="R27" s="170"/>
      <c r="S27" s="170"/>
      <c r="T27" s="170"/>
      <c r="U27" s="170"/>
      <c r="V27" s="170"/>
      <c r="W27" s="170"/>
      <c r="X27" s="170"/>
      <c r="Y27" s="170"/>
      <c r="Z27" s="170"/>
    </row>
    <row r="28">
      <c r="A28" s="548">
        <v>32.5</v>
      </c>
      <c r="B28" s="549">
        <v>21.0</v>
      </c>
      <c r="C28" s="550" t="s">
        <v>477</v>
      </c>
      <c r="D28" s="551" t="s">
        <v>117</v>
      </c>
      <c r="E28" s="551"/>
      <c r="F28" s="552"/>
      <c r="G28" s="170"/>
      <c r="H28" s="170"/>
      <c r="I28" s="170"/>
      <c r="J28" s="170"/>
      <c r="K28" s="170"/>
      <c r="L28" s="170"/>
      <c r="M28" s="170"/>
      <c r="N28" s="170"/>
      <c r="O28" s="170"/>
      <c r="P28" s="170"/>
      <c r="Q28" s="170"/>
      <c r="R28" s="170"/>
      <c r="S28" s="170"/>
      <c r="T28" s="170"/>
      <c r="U28" s="170"/>
      <c r="V28" s="170"/>
      <c r="W28" s="170"/>
      <c r="X28" s="170"/>
      <c r="Y28" s="170"/>
      <c r="Z28" s="170"/>
    </row>
    <row r="29">
      <c r="A29" s="232" t="s">
        <v>490</v>
      </c>
      <c r="B29" s="211"/>
      <c r="C29" s="211"/>
      <c r="D29" s="91"/>
      <c r="E29" s="504" t="s">
        <v>491</v>
      </c>
      <c r="F29" s="554" t="s">
        <v>24</v>
      </c>
      <c r="G29" s="170"/>
      <c r="H29" s="170"/>
      <c r="I29" s="170"/>
      <c r="J29" s="170"/>
      <c r="K29" s="170"/>
      <c r="L29" s="170"/>
      <c r="M29" s="170"/>
      <c r="N29" s="170"/>
      <c r="O29" s="170"/>
      <c r="P29" s="170"/>
      <c r="Q29" s="170"/>
      <c r="R29" s="170"/>
      <c r="S29" s="170"/>
      <c r="T29" s="170"/>
      <c r="U29" s="170"/>
      <c r="V29" s="170"/>
      <c r="W29" s="170"/>
      <c r="X29" s="170"/>
      <c r="Y29" s="170"/>
      <c r="Z29" s="170"/>
    </row>
    <row r="30">
      <c r="A30" s="264" t="s">
        <v>176</v>
      </c>
      <c r="B30" s="265" t="s">
        <v>26</v>
      </c>
      <c r="C30" s="265" t="s">
        <v>119</v>
      </c>
      <c r="D30" s="235" t="s">
        <v>220</v>
      </c>
      <c r="E30" s="278" t="s">
        <v>253</v>
      </c>
      <c r="F30" s="336" t="s">
        <v>479</v>
      </c>
      <c r="G30" s="555"/>
      <c r="H30" s="555"/>
      <c r="I30" s="555"/>
      <c r="J30" s="555"/>
      <c r="K30" s="555"/>
      <c r="L30" s="555"/>
      <c r="M30" s="555"/>
      <c r="N30" s="555"/>
      <c r="O30" s="555"/>
      <c r="P30" s="555"/>
      <c r="Q30" s="555"/>
      <c r="R30" s="555"/>
      <c r="S30" s="555"/>
      <c r="T30" s="555"/>
      <c r="U30" s="555"/>
      <c r="V30" s="555"/>
      <c r="W30" s="555"/>
      <c r="X30" s="555"/>
      <c r="Y30" s="555"/>
      <c r="Z30" s="555"/>
    </row>
    <row r="31">
      <c r="A31" s="386" t="s">
        <v>480</v>
      </c>
      <c r="B31" s="387" t="s">
        <v>239</v>
      </c>
      <c r="C31" s="556">
        <f>$A$28*6</f>
        <v>195</v>
      </c>
      <c r="D31" s="389" t="s">
        <v>244</v>
      </c>
      <c r="E31" s="390" t="s">
        <v>494</v>
      </c>
      <c r="F31" s="572" t="s">
        <v>506</v>
      </c>
      <c r="G31" s="573">
        <f>A28*15</f>
        <v>487.5</v>
      </c>
      <c r="H31" s="574" t="s">
        <v>507</v>
      </c>
      <c r="I31" s="575">
        <f>35.3*15</f>
        <v>529.5</v>
      </c>
      <c r="J31" s="576" t="s">
        <v>509</v>
      </c>
      <c r="K31" s="577">
        <f>G31+I31</f>
        <v>1017</v>
      </c>
      <c r="L31" s="170"/>
      <c r="M31" s="170"/>
      <c r="N31" s="170"/>
      <c r="O31" s="170"/>
      <c r="P31" s="170"/>
      <c r="Q31" s="170"/>
      <c r="R31" s="170"/>
      <c r="S31" s="170"/>
      <c r="T31" s="170"/>
      <c r="U31" s="170"/>
      <c r="V31" s="170"/>
      <c r="W31" s="170"/>
      <c r="X31" s="170"/>
      <c r="Y31" s="170"/>
      <c r="Z31" s="170"/>
    </row>
    <row r="32">
      <c r="A32" s="392" t="s">
        <v>363</v>
      </c>
      <c r="B32" s="387" t="s">
        <v>364</v>
      </c>
      <c r="C32" s="509">
        <f t="shared" ref="C32:C37" si="4">$A$28*$B$3</f>
        <v>682.5</v>
      </c>
      <c r="D32" s="389" t="s">
        <v>244</v>
      </c>
      <c r="E32" s="390" t="s">
        <v>494</v>
      </c>
      <c r="F32" s="450"/>
      <c r="G32" s="575"/>
      <c r="H32" s="576"/>
      <c r="I32" s="575"/>
      <c r="J32" s="575"/>
      <c r="K32" s="575"/>
    </row>
    <row r="33">
      <c r="A33" s="392" t="s">
        <v>484</v>
      </c>
      <c r="B33" s="393" t="s">
        <v>250</v>
      </c>
      <c r="C33" s="509">
        <f t="shared" si="4"/>
        <v>682.5</v>
      </c>
      <c r="D33" s="396" t="s">
        <v>244</v>
      </c>
      <c r="E33" s="390" t="s">
        <v>494</v>
      </c>
      <c r="F33" s="478"/>
      <c r="G33" s="578"/>
      <c r="H33" s="578"/>
      <c r="I33" s="578"/>
      <c r="J33" s="578"/>
      <c r="K33" s="578"/>
    </row>
    <row r="34">
      <c r="A34" s="400" t="s">
        <v>80</v>
      </c>
      <c r="B34" s="402" t="s">
        <v>81</v>
      </c>
      <c r="C34" s="509">
        <f t="shared" si="4"/>
        <v>682.5</v>
      </c>
      <c r="D34" s="396" t="s">
        <v>244</v>
      </c>
      <c r="E34" s="390" t="s">
        <v>494</v>
      </c>
      <c r="F34" s="480"/>
      <c r="G34" s="579"/>
      <c r="H34" s="579"/>
      <c r="I34" s="579"/>
      <c r="J34" s="579"/>
      <c r="K34" s="579"/>
    </row>
    <row r="35">
      <c r="A35" s="400" t="s">
        <v>59</v>
      </c>
      <c r="B35" s="402" t="s">
        <v>60</v>
      </c>
      <c r="C35" s="509">
        <f t="shared" si="4"/>
        <v>682.5</v>
      </c>
      <c r="D35" s="396" t="s">
        <v>244</v>
      </c>
      <c r="E35" s="390" t="s">
        <v>494</v>
      </c>
      <c r="F35" s="405"/>
      <c r="G35" s="578"/>
      <c r="H35" s="578"/>
      <c r="I35" s="578"/>
      <c r="J35" s="578"/>
      <c r="K35" s="578"/>
    </row>
    <row r="36">
      <c r="A36" s="386" t="s">
        <v>487</v>
      </c>
      <c r="B36" s="389" t="s">
        <v>395</v>
      </c>
      <c r="C36" s="509">
        <f t="shared" si="4"/>
        <v>682.5</v>
      </c>
      <c r="D36" s="396" t="s">
        <v>244</v>
      </c>
      <c r="E36" s="390" t="s">
        <v>494</v>
      </c>
      <c r="F36" s="450"/>
      <c r="G36" s="575"/>
      <c r="H36" s="575"/>
      <c r="I36" s="575"/>
      <c r="J36" s="575"/>
      <c r="K36" s="575"/>
    </row>
    <row r="37">
      <c r="A37" s="406" t="s">
        <v>134</v>
      </c>
      <c r="B37" s="389" t="s">
        <v>135</v>
      </c>
      <c r="C37" s="509">
        <f t="shared" si="4"/>
        <v>682.5</v>
      </c>
      <c r="D37" s="389" t="s">
        <v>244</v>
      </c>
      <c r="E37" s="390" t="s">
        <v>494</v>
      </c>
      <c r="F37" s="478"/>
      <c r="G37" s="578"/>
      <c r="H37" s="578"/>
      <c r="I37" s="578"/>
      <c r="J37" s="578"/>
      <c r="K37" s="578"/>
    </row>
    <row r="38">
      <c r="A38" s="290" t="s">
        <v>288</v>
      </c>
      <c r="B38" s="290"/>
      <c r="C38" s="561">
        <f>SUM(C31:C37)</f>
        <v>4290</v>
      </c>
      <c r="D38" s="218"/>
      <c r="E38" s="218"/>
      <c r="F38" s="218"/>
    </row>
    <row r="39">
      <c r="A39" s="557"/>
      <c r="B39" s="557"/>
      <c r="C39" s="580"/>
      <c r="D39" s="557"/>
      <c r="E39" s="557"/>
      <c r="F39" s="557"/>
    </row>
    <row r="40">
      <c r="A40" s="558"/>
      <c r="B40" s="558"/>
      <c r="C40" s="581"/>
      <c r="D40" s="558"/>
      <c r="E40" s="558"/>
      <c r="F40" s="558"/>
    </row>
    <row r="41">
      <c r="A41" s="547" t="s">
        <v>3</v>
      </c>
      <c r="B41" s="211"/>
      <c r="C41" s="211"/>
      <c r="D41" s="211"/>
      <c r="E41" s="211"/>
      <c r="F41" s="91"/>
    </row>
    <row r="42">
      <c r="A42" s="225" t="s">
        <v>460</v>
      </c>
      <c r="B42" s="211"/>
      <c r="C42" s="211"/>
      <c r="D42" s="211"/>
      <c r="E42" s="211"/>
      <c r="F42" s="91"/>
    </row>
    <row r="43">
      <c r="A43" s="548">
        <v>32.5</v>
      </c>
      <c r="B43" s="549">
        <v>21.0</v>
      </c>
      <c r="C43" s="229" t="s">
        <v>477</v>
      </c>
      <c r="D43" s="551" t="s">
        <v>117</v>
      </c>
      <c r="E43" s="551"/>
      <c r="F43" s="552"/>
    </row>
    <row r="44">
      <c r="A44" s="232" t="s">
        <v>490</v>
      </c>
      <c r="B44" s="211"/>
      <c r="C44" s="211"/>
      <c r="D44" s="91"/>
      <c r="E44" s="504" t="s">
        <v>491</v>
      </c>
      <c r="F44" s="554" t="s">
        <v>24</v>
      </c>
    </row>
    <row r="45">
      <c r="A45" s="264" t="s">
        <v>176</v>
      </c>
      <c r="B45" s="264" t="s">
        <v>26</v>
      </c>
      <c r="C45" s="264" t="s">
        <v>119</v>
      </c>
      <c r="D45" s="559" t="s">
        <v>220</v>
      </c>
      <c r="E45" s="559" t="s">
        <v>253</v>
      </c>
      <c r="F45" s="560" t="s">
        <v>479</v>
      </c>
    </row>
    <row r="46">
      <c r="A46" s="392" t="s">
        <v>489</v>
      </c>
      <c r="B46" s="499" t="s">
        <v>463</v>
      </c>
      <c r="C46" s="562">
        <f t="shared" ref="C46:C47" si="5">$A$43*$B$3</f>
        <v>682.5</v>
      </c>
      <c r="D46" s="389" t="s">
        <v>244</v>
      </c>
      <c r="E46" s="389" t="s">
        <v>466</v>
      </c>
      <c r="F46" s="563"/>
    </row>
    <row r="47">
      <c r="A47" s="392" t="s">
        <v>492</v>
      </c>
      <c r="B47" s="387" t="s">
        <v>500</v>
      </c>
      <c r="C47" s="562">
        <f t="shared" si="5"/>
        <v>682.5</v>
      </c>
      <c r="D47" s="389" t="s">
        <v>244</v>
      </c>
      <c r="E47" s="389" t="s">
        <v>466</v>
      </c>
      <c r="F47" s="563"/>
    </row>
    <row r="48">
      <c r="A48" s="290" t="s">
        <v>288</v>
      </c>
      <c r="B48" s="290"/>
      <c r="C48" s="561">
        <f>SUM(C46:C47)</f>
        <v>1365</v>
      </c>
      <c r="D48" s="218"/>
      <c r="E48" s="218"/>
      <c r="F48" s="218"/>
    </row>
    <row r="49">
      <c r="C49" s="582"/>
    </row>
    <row r="50">
      <c r="C50" s="582"/>
    </row>
    <row r="51">
      <c r="C51" s="582"/>
    </row>
    <row r="52">
      <c r="C52" s="582"/>
    </row>
    <row r="53">
      <c r="C53" s="582"/>
    </row>
    <row r="54">
      <c r="C54" s="582"/>
    </row>
    <row r="55">
      <c r="C55" s="582"/>
    </row>
    <row r="56">
      <c r="C56" s="582"/>
    </row>
    <row r="57">
      <c r="C57" s="582"/>
    </row>
    <row r="58">
      <c r="C58" s="582"/>
    </row>
    <row r="59">
      <c r="C59" s="582"/>
    </row>
    <row r="60">
      <c r="C60" s="582"/>
    </row>
    <row r="61">
      <c r="C61" s="582"/>
    </row>
    <row r="62">
      <c r="C62" s="582"/>
    </row>
    <row r="63">
      <c r="C63" s="582"/>
    </row>
    <row r="64">
      <c r="C64" s="582"/>
    </row>
    <row r="65">
      <c r="C65" s="582"/>
    </row>
    <row r="66">
      <c r="C66" s="582"/>
    </row>
    <row r="67">
      <c r="C67" s="582"/>
    </row>
    <row r="68">
      <c r="C68" s="582"/>
    </row>
    <row r="69">
      <c r="C69" s="582"/>
    </row>
    <row r="70">
      <c r="C70" s="582"/>
    </row>
    <row r="71">
      <c r="C71" s="582"/>
    </row>
    <row r="72">
      <c r="C72" s="582"/>
    </row>
    <row r="73">
      <c r="C73" s="582"/>
    </row>
    <row r="74">
      <c r="C74" s="582"/>
    </row>
    <row r="75">
      <c r="C75" s="582"/>
    </row>
    <row r="76">
      <c r="C76" s="582"/>
    </row>
    <row r="77">
      <c r="C77" s="582"/>
    </row>
    <row r="78">
      <c r="C78" s="582"/>
    </row>
    <row r="79">
      <c r="C79" s="582"/>
    </row>
    <row r="80">
      <c r="C80" s="582"/>
    </row>
    <row r="81">
      <c r="C81" s="582"/>
    </row>
    <row r="82">
      <c r="C82" s="582"/>
    </row>
    <row r="83">
      <c r="C83" s="582"/>
    </row>
    <row r="84">
      <c r="C84" s="582"/>
    </row>
    <row r="85">
      <c r="C85" s="582"/>
    </row>
    <row r="86">
      <c r="C86" s="582"/>
    </row>
    <row r="87">
      <c r="C87" s="582"/>
    </row>
    <row r="88">
      <c r="C88" s="582"/>
    </row>
    <row r="89">
      <c r="C89" s="582"/>
    </row>
    <row r="90">
      <c r="C90" s="582"/>
    </row>
    <row r="91">
      <c r="C91" s="582"/>
    </row>
    <row r="92">
      <c r="C92" s="582"/>
    </row>
    <row r="93">
      <c r="C93" s="582"/>
    </row>
    <row r="94">
      <c r="C94" s="582"/>
    </row>
    <row r="95">
      <c r="C95" s="582"/>
    </row>
    <row r="96">
      <c r="C96" s="582"/>
    </row>
    <row r="97">
      <c r="C97" s="582"/>
    </row>
    <row r="98">
      <c r="C98" s="582"/>
    </row>
    <row r="99">
      <c r="C99" s="582"/>
    </row>
    <row r="100">
      <c r="C100" s="582"/>
    </row>
    <row r="101">
      <c r="C101" s="582"/>
    </row>
    <row r="102">
      <c r="C102" s="582"/>
    </row>
    <row r="103">
      <c r="C103" s="582"/>
    </row>
    <row r="104">
      <c r="C104" s="582"/>
    </row>
    <row r="105">
      <c r="C105" s="582"/>
    </row>
    <row r="106">
      <c r="C106" s="582"/>
    </row>
    <row r="107">
      <c r="C107" s="582"/>
    </row>
    <row r="108">
      <c r="C108" s="582"/>
    </row>
    <row r="109">
      <c r="C109" s="582"/>
    </row>
    <row r="110">
      <c r="C110" s="582"/>
    </row>
    <row r="111">
      <c r="C111" s="582"/>
    </row>
    <row r="112">
      <c r="C112" s="582"/>
    </row>
    <row r="113">
      <c r="C113" s="582"/>
    </row>
    <row r="114">
      <c r="C114" s="582"/>
    </row>
    <row r="115">
      <c r="C115" s="582"/>
    </row>
    <row r="116">
      <c r="C116" s="582"/>
    </row>
    <row r="117">
      <c r="C117" s="582"/>
    </row>
    <row r="118">
      <c r="C118" s="582"/>
    </row>
    <row r="119">
      <c r="C119" s="582"/>
    </row>
    <row r="120">
      <c r="C120" s="582"/>
    </row>
    <row r="121">
      <c r="C121" s="582"/>
    </row>
    <row r="122">
      <c r="C122" s="582"/>
    </row>
    <row r="123">
      <c r="C123" s="582"/>
    </row>
    <row r="124">
      <c r="C124" s="582"/>
    </row>
    <row r="125">
      <c r="C125" s="582"/>
    </row>
    <row r="126">
      <c r="C126" s="582"/>
    </row>
    <row r="127">
      <c r="C127" s="582"/>
    </row>
    <row r="128">
      <c r="C128" s="582"/>
    </row>
    <row r="129">
      <c r="C129" s="582"/>
    </row>
    <row r="130">
      <c r="C130" s="582"/>
    </row>
    <row r="131">
      <c r="C131" s="582"/>
    </row>
    <row r="132">
      <c r="C132" s="582"/>
    </row>
    <row r="133">
      <c r="C133" s="582"/>
    </row>
    <row r="134">
      <c r="C134" s="582"/>
    </row>
    <row r="135">
      <c r="C135" s="582"/>
    </row>
    <row r="136">
      <c r="C136" s="582"/>
    </row>
    <row r="137">
      <c r="C137" s="582"/>
    </row>
    <row r="138">
      <c r="C138" s="582"/>
    </row>
    <row r="139">
      <c r="C139" s="582"/>
    </row>
    <row r="140">
      <c r="C140" s="582"/>
    </row>
    <row r="141">
      <c r="C141" s="582"/>
    </row>
    <row r="142">
      <c r="C142" s="582"/>
    </row>
    <row r="143">
      <c r="C143" s="582"/>
    </row>
    <row r="144">
      <c r="C144" s="582"/>
    </row>
    <row r="145">
      <c r="C145" s="582"/>
    </row>
    <row r="146">
      <c r="C146" s="582"/>
    </row>
    <row r="147">
      <c r="C147" s="582"/>
    </row>
    <row r="148">
      <c r="C148" s="582"/>
    </row>
    <row r="149">
      <c r="C149" s="582"/>
    </row>
    <row r="150">
      <c r="C150" s="582"/>
    </row>
    <row r="151">
      <c r="C151" s="582"/>
    </row>
    <row r="152">
      <c r="C152" s="582"/>
    </row>
    <row r="153">
      <c r="C153" s="582"/>
    </row>
    <row r="154">
      <c r="C154" s="582"/>
    </row>
    <row r="155">
      <c r="C155" s="582"/>
    </row>
    <row r="156">
      <c r="C156" s="582"/>
    </row>
    <row r="157">
      <c r="C157" s="582"/>
    </row>
    <row r="158">
      <c r="C158" s="582"/>
    </row>
    <row r="159">
      <c r="C159" s="582"/>
    </row>
    <row r="160">
      <c r="C160" s="582"/>
    </row>
    <row r="161">
      <c r="C161" s="582"/>
    </row>
    <row r="162">
      <c r="C162" s="582"/>
    </row>
    <row r="163">
      <c r="C163" s="582"/>
    </row>
    <row r="164">
      <c r="C164" s="582"/>
    </row>
    <row r="165">
      <c r="C165" s="582"/>
    </row>
    <row r="166">
      <c r="C166" s="582"/>
    </row>
    <row r="167">
      <c r="C167" s="582"/>
    </row>
    <row r="168">
      <c r="C168" s="582"/>
    </row>
    <row r="169">
      <c r="C169" s="582"/>
    </row>
    <row r="170">
      <c r="C170" s="582"/>
    </row>
    <row r="171">
      <c r="C171" s="582"/>
    </row>
    <row r="172">
      <c r="C172" s="582"/>
    </row>
    <row r="173">
      <c r="C173" s="582"/>
    </row>
    <row r="174">
      <c r="C174" s="582"/>
    </row>
    <row r="175">
      <c r="C175" s="582"/>
    </row>
    <row r="176">
      <c r="C176" s="582"/>
    </row>
    <row r="177">
      <c r="C177" s="582"/>
    </row>
    <row r="178">
      <c r="C178" s="582"/>
    </row>
    <row r="179">
      <c r="C179" s="582"/>
    </row>
    <row r="180">
      <c r="C180" s="582"/>
    </row>
    <row r="181">
      <c r="C181" s="582"/>
    </row>
    <row r="182">
      <c r="C182" s="582"/>
    </row>
    <row r="183">
      <c r="C183" s="582"/>
    </row>
    <row r="184">
      <c r="C184" s="582"/>
    </row>
    <row r="185">
      <c r="C185" s="582"/>
    </row>
    <row r="186">
      <c r="C186" s="582"/>
    </row>
    <row r="187">
      <c r="C187" s="582"/>
    </row>
    <row r="188">
      <c r="C188" s="582"/>
    </row>
    <row r="189">
      <c r="C189" s="582"/>
    </row>
    <row r="190">
      <c r="C190" s="582"/>
    </row>
    <row r="191">
      <c r="C191" s="582"/>
    </row>
    <row r="192">
      <c r="C192" s="582"/>
    </row>
    <row r="193">
      <c r="C193" s="582"/>
    </row>
    <row r="194">
      <c r="C194" s="582"/>
    </row>
    <row r="195">
      <c r="C195" s="582"/>
    </row>
    <row r="196">
      <c r="C196" s="582"/>
    </row>
    <row r="197">
      <c r="C197" s="582"/>
    </row>
    <row r="198">
      <c r="C198" s="582"/>
    </row>
    <row r="199">
      <c r="C199" s="582"/>
    </row>
    <row r="200">
      <c r="C200" s="582"/>
    </row>
    <row r="201">
      <c r="C201" s="582"/>
    </row>
    <row r="202">
      <c r="C202" s="582"/>
    </row>
    <row r="203">
      <c r="C203" s="582"/>
    </row>
    <row r="204">
      <c r="C204" s="582"/>
    </row>
    <row r="205">
      <c r="C205" s="582"/>
    </row>
    <row r="206">
      <c r="C206" s="582"/>
    </row>
    <row r="207">
      <c r="C207" s="582"/>
    </row>
    <row r="208">
      <c r="C208" s="582"/>
    </row>
    <row r="209">
      <c r="C209" s="582"/>
    </row>
    <row r="210">
      <c r="C210" s="582"/>
    </row>
    <row r="211">
      <c r="C211" s="582"/>
    </row>
    <row r="212">
      <c r="C212" s="582"/>
    </row>
    <row r="213">
      <c r="C213" s="582"/>
    </row>
    <row r="214">
      <c r="C214" s="582"/>
    </row>
    <row r="215">
      <c r="C215" s="582"/>
    </row>
    <row r="216">
      <c r="C216" s="582"/>
    </row>
    <row r="217">
      <c r="C217" s="582"/>
    </row>
    <row r="218">
      <c r="C218" s="582"/>
    </row>
    <row r="219">
      <c r="C219" s="582"/>
    </row>
    <row r="220">
      <c r="C220" s="582"/>
    </row>
    <row r="221">
      <c r="C221" s="582"/>
    </row>
    <row r="222">
      <c r="C222" s="582"/>
    </row>
    <row r="223">
      <c r="C223" s="582"/>
    </row>
    <row r="224">
      <c r="C224" s="582"/>
    </row>
    <row r="225">
      <c r="C225" s="582"/>
    </row>
    <row r="226">
      <c r="C226" s="582"/>
    </row>
    <row r="227">
      <c r="C227" s="582"/>
    </row>
    <row r="228">
      <c r="C228" s="582"/>
    </row>
    <row r="229">
      <c r="C229" s="582"/>
    </row>
    <row r="230">
      <c r="C230" s="582"/>
    </row>
    <row r="231">
      <c r="C231" s="582"/>
    </row>
    <row r="232">
      <c r="C232" s="582"/>
    </row>
    <row r="233">
      <c r="C233" s="582"/>
    </row>
    <row r="234">
      <c r="C234" s="582"/>
    </row>
    <row r="235">
      <c r="C235" s="582"/>
    </row>
    <row r="236">
      <c r="C236" s="582"/>
    </row>
    <row r="237">
      <c r="C237" s="582"/>
    </row>
    <row r="238">
      <c r="C238" s="582"/>
    </row>
    <row r="239">
      <c r="C239" s="582"/>
    </row>
    <row r="240">
      <c r="C240" s="582"/>
    </row>
    <row r="241">
      <c r="C241" s="582"/>
    </row>
    <row r="242">
      <c r="C242" s="582"/>
    </row>
    <row r="243">
      <c r="C243" s="582"/>
    </row>
    <row r="244">
      <c r="C244" s="582"/>
    </row>
    <row r="245">
      <c r="C245" s="582"/>
    </row>
    <row r="246">
      <c r="C246" s="582"/>
    </row>
    <row r="247">
      <c r="C247" s="582"/>
    </row>
    <row r="248">
      <c r="C248" s="582"/>
    </row>
    <row r="249">
      <c r="C249" s="582"/>
    </row>
    <row r="250">
      <c r="C250" s="582"/>
    </row>
    <row r="251">
      <c r="C251" s="582"/>
    </row>
    <row r="252">
      <c r="C252" s="582"/>
    </row>
    <row r="253">
      <c r="C253" s="582"/>
    </row>
    <row r="254">
      <c r="C254" s="582"/>
    </row>
    <row r="255">
      <c r="C255" s="582"/>
    </row>
    <row r="256">
      <c r="C256" s="582"/>
    </row>
    <row r="257">
      <c r="C257" s="582"/>
    </row>
    <row r="258">
      <c r="C258" s="582"/>
    </row>
    <row r="259">
      <c r="C259" s="582"/>
    </row>
    <row r="260">
      <c r="C260" s="582"/>
    </row>
    <row r="261">
      <c r="C261" s="582"/>
    </row>
    <row r="262">
      <c r="C262" s="582"/>
    </row>
    <row r="263">
      <c r="C263" s="582"/>
    </row>
    <row r="264">
      <c r="C264" s="582"/>
    </row>
    <row r="265">
      <c r="C265" s="582"/>
    </row>
    <row r="266">
      <c r="C266" s="582"/>
    </row>
    <row r="267">
      <c r="C267" s="582"/>
    </row>
    <row r="268">
      <c r="C268" s="582"/>
    </row>
    <row r="269">
      <c r="C269" s="582"/>
    </row>
    <row r="270">
      <c r="C270" s="582"/>
    </row>
    <row r="271">
      <c r="C271" s="582"/>
    </row>
    <row r="272">
      <c r="C272" s="582"/>
    </row>
    <row r="273">
      <c r="C273" s="582"/>
    </row>
    <row r="274">
      <c r="C274" s="582"/>
    </row>
    <row r="275">
      <c r="C275" s="582"/>
    </row>
    <row r="276">
      <c r="C276" s="582"/>
    </row>
    <row r="277">
      <c r="C277" s="582"/>
    </row>
    <row r="278">
      <c r="C278" s="582"/>
    </row>
    <row r="279">
      <c r="C279" s="582"/>
    </row>
    <row r="280">
      <c r="C280" s="582"/>
    </row>
    <row r="281">
      <c r="C281" s="582"/>
    </row>
    <row r="282">
      <c r="C282" s="582"/>
    </row>
    <row r="283">
      <c r="C283" s="582"/>
    </row>
    <row r="284">
      <c r="C284" s="582"/>
    </row>
    <row r="285">
      <c r="C285" s="582"/>
    </row>
    <row r="286">
      <c r="C286" s="582"/>
    </row>
    <row r="287">
      <c r="C287" s="582"/>
    </row>
    <row r="288">
      <c r="C288" s="582"/>
    </row>
    <row r="289">
      <c r="C289" s="582"/>
    </row>
    <row r="290">
      <c r="C290" s="582"/>
    </row>
    <row r="291">
      <c r="C291" s="582"/>
    </row>
    <row r="292">
      <c r="C292" s="582"/>
    </row>
    <row r="293">
      <c r="C293" s="582"/>
    </row>
    <row r="294">
      <c r="C294" s="582"/>
    </row>
    <row r="295">
      <c r="C295" s="582"/>
    </row>
    <row r="296">
      <c r="C296" s="582"/>
    </row>
    <row r="297">
      <c r="C297" s="582"/>
    </row>
    <row r="298">
      <c r="C298" s="582"/>
    </row>
    <row r="299">
      <c r="C299" s="582"/>
    </row>
    <row r="300">
      <c r="C300" s="582"/>
    </row>
    <row r="301">
      <c r="C301" s="582"/>
    </row>
    <row r="302">
      <c r="C302" s="582"/>
    </row>
    <row r="303">
      <c r="C303" s="582"/>
    </row>
    <row r="304">
      <c r="C304" s="582"/>
    </row>
    <row r="305">
      <c r="C305" s="582"/>
    </row>
    <row r="306">
      <c r="C306" s="582"/>
    </row>
    <row r="307">
      <c r="C307" s="582"/>
    </row>
    <row r="308">
      <c r="C308" s="582"/>
    </row>
    <row r="309">
      <c r="C309" s="582"/>
    </row>
    <row r="310">
      <c r="C310" s="582"/>
    </row>
    <row r="311">
      <c r="C311" s="582"/>
    </row>
    <row r="312">
      <c r="C312" s="582"/>
    </row>
    <row r="313">
      <c r="C313" s="582"/>
    </row>
    <row r="314">
      <c r="C314" s="582"/>
    </row>
    <row r="315">
      <c r="C315" s="582"/>
    </row>
    <row r="316">
      <c r="C316" s="582"/>
    </row>
    <row r="317">
      <c r="C317" s="582"/>
    </row>
    <row r="318">
      <c r="C318" s="582"/>
    </row>
    <row r="319">
      <c r="C319" s="582"/>
    </row>
    <row r="320">
      <c r="C320" s="582"/>
    </row>
    <row r="321">
      <c r="C321" s="582"/>
    </row>
    <row r="322">
      <c r="C322" s="582"/>
    </row>
    <row r="323">
      <c r="C323" s="582"/>
    </row>
    <row r="324">
      <c r="C324" s="582"/>
    </row>
    <row r="325">
      <c r="C325" s="582"/>
    </row>
    <row r="326">
      <c r="C326" s="582"/>
    </row>
    <row r="327">
      <c r="C327" s="582"/>
    </row>
    <row r="328">
      <c r="C328" s="582"/>
    </row>
    <row r="329">
      <c r="C329" s="582"/>
    </row>
    <row r="330">
      <c r="C330" s="582"/>
    </row>
    <row r="331">
      <c r="C331" s="582"/>
    </row>
    <row r="332">
      <c r="C332" s="582"/>
    </row>
    <row r="333">
      <c r="C333" s="582"/>
    </row>
    <row r="334">
      <c r="C334" s="582"/>
    </row>
    <row r="335">
      <c r="C335" s="582"/>
    </row>
    <row r="336">
      <c r="C336" s="582"/>
    </row>
    <row r="337">
      <c r="C337" s="582"/>
    </row>
    <row r="338">
      <c r="C338" s="582"/>
    </row>
    <row r="339">
      <c r="C339" s="582"/>
    </row>
    <row r="340">
      <c r="C340" s="582"/>
    </row>
    <row r="341">
      <c r="C341" s="582"/>
    </row>
    <row r="342">
      <c r="C342" s="582"/>
    </row>
    <row r="343">
      <c r="C343" s="582"/>
    </row>
    <row r="344">
      <c r="C344" s="582"/>
    </row>
    <row r="345">
      <c r="C345" s="582"/>
    </row>
    <row r="346">
      <c r="C346" s="582"/>
    </row>
    <row r="347">
      <c r="C347" s="582"/>
    </row>
    <row r="348">
      <c r="C348" s="582"/>
    </row>
    <row r="349">
      <c r="C349" s="582"/>
    </row>
    <row r="350">
      <c r="C350" s="582"/>
    </row>
    <row r="351">
      <c r="C351" s="582"/>
    </row>
    <row r="352">
      <c r="C352" s="582"/>
    </row>
    <row r="353">
      <c r="C353" s="582"/>
    </row>
    <row r="354">
      <c r="C354" s="582"/>
    </row>
    <row r="355">
      <c r="C355" s="582"/>
    </row>
    <row r="356">
      <c r="C356" s="582"/>
    </row>
    <row r="357">
      <c r="C357" s="582"/>
    </row>
    <row r="358">
      <c r="C358" s="582"/>
    </row>
    <row r="359">
      <c r="C359" s="582"/>
    </row>
    <row r="360">
      <c r="C360" s="582"/>
    </row>
    <row r="361">
      <c r="C361" s="582"/>
    </row>
    <row r="362">
      <c r="C362" s="582"/>
    </row>
    <row r="363">
      <c r="C363" s="582"/>
    </row>
    <row r="364">
      <c r="C364" s="582"/>
    </row>
    <row r="365">
      <c r="C365" s="582"/>
    </row>
    <row r="366">
      <c r="C366" s="582"/>
    </row>
    <row r="367">
      <c r="C367" s="582"/>
    </row>
    <row r="368">
      <c r="C368" s="582"/>
    </row>
    <row r="369">
      <c r="C369" s="582"/>
    </row>
    <row r="370">
      <c r="C370" s="582"/>
    </row>
    <row r="371">
      <c r="C371" s="582"/>
    </row>
    <row r="372">
      <c r="C372" s="582"/>
    </row>
    <row r="373">
      <c r="C373" s="582"/>
    </row>
    <row r="374">
      <c r="C374" s="582"/>
    </row>
    <row r="375">
      <c r="C375" s="582"/>
    </row>
    <row r="376">
      <c r="C376" s="582"/>
    </row>
    <row r="377">
      <c r="C377" s="582"/>
    </row>
    <row r="378">
      <c r="C378" s="582"/>
    </row>
    <row r="379">
      <c r="C379" s="582"/>
    </row>
    <row r="380">
      <c r="C380" s="582"/>
    </row>
    <row r="381">
      <c r="C381" s="582"/>
    </row>
    <row r="382">
      <c r="C382" s="582"/>
    </row>
    <row r="383">
      <c r="C383" s="582"/>
    </row>
    <row r="384">
      <c r="C384" s="582"/>
    </row>
    <row r="385">
      <c r="C385" s="582"/>
    </row>
    <row r="386">
      <c r="C386" s="582"/>
    </row>
    <row r="387">
      <c r="C387" s="582"/>
    </row>
    <row r="388">
      <c r="C388" s="582"/>
    </row>
    <row r="389">
      <c r="C389" s="582"/>
    </row>
    <row r="390">
      <c r="C390" s="582"/>
    </row>
    <row r="391">
      <c r="C391" s="582"/>
    </row>
    <row r="392">
      <c r="C392" s="582"/>
    </row>
    <row r="393">
      <c r="C393" s="582"/>
    </row>
    <row r="394">
      <c r="C394" s="582"/>
    </row>
    <row r="395">
      <c r="C395" s="582"/>
    </row>
    <row r="396">
      <c r="C396" s="582"/>
    </row>
    <row r="397">
      <c r="C397" s="582"/>
    </row>
    <row r="398">
      <c r="C398" s="582"/>
    </row>
    <row r="399">
      <c r="C399" s="582"/>
    </row>
    <row r="400">
      <c r="C400" s="582"/>
    </row>
    <row r="401">
      <c r="C401" s="582"/>
    </row>
    <row r="402">
      <c r="C402" s="582"/>
    </row>
    <row r="403">
      <c r="C403" s="582"/>
    </row>
    <row r="404">
      <c r="C404" s="582"/>
    </row>
    <row r="405">
      <c r="C405" s="582"/>
    </row>
    <row r="406">
      <c r="C406" s="582"/>
    </row>
    <row r="407">
      <c r="C407" s="582"/>
    </row>
    <row r="408">
      <c r="C408" s="582"/>
    </row>
    <row r="409">
      <c r="C409" s="582"/>
    </row>
    <row r="410">
      <c r="C410" s="582"/>
    </row>
    <row r="411">
      <c r="C411" s="582"/>
    </row>
    <row r="412">
      <c r="C412" s="582"/>
    </row>
    <row r="413">
      <c r="C413" s="582"/>
    </row>
    <row r="414">
      <c r="C414" s="582"/>
    </row>
    <row r="415">
      <c r="C415" s="582"/>
    </row>
    <row r="416">
      <c r="C416" s="582"/>
    </row>
    <row r="417">
      <c r="C417" s="582"/>
    </row>
    <row r="418">
      <c r="C418" s="582"/>
    </row>
    <row r="419">
      <c r="C419" s="582"/>
    </row>
    <row r="420">
      <c r="C420" s="582"/>
    </row>
    <row r="421">
      <c r="C421" s="582"/>
    </row>
    <row r="422">
      <c r="C422" s="582"/>
    </row>
    <row r="423">
      <c r="C423" s="582"/>
    </row>
    <row r="424">
      <c r="C424" s="582"/>
    </row>
    <row r="425">
      <c r="C425" s="582"/>
    </row>
    <row r="426">
      <c r="C426" s="582"/>
    </row>
    <row r="427">
      <c r="C427" s="582"/>
    </row>
    <row r="428">
      <c r="C428" s="582"/>
    </row>
    <row r="429">
      <c r="C429" s="582"/>
    </row>
    <row r="430">
      <c r="C430" s="582"/>
    </row>
    <row r="431">
      <c r="C431" s="582"/>
    </row>
    <row r="432">
      <c r="C432" s="582"/>
    </row>
    <row r="433">
      <c r="C433" s="582"/>
    </row>
    <row r="434">
      <c r="C434" s="582"/>
    </row>
    <row r="435">
      <c r="C435" s="582"/>
    </row>
    <row r="436">
      <c r="C436" s="582"/>
    </row>
    <row r="437">
      <c r="C437" s="582"/>
    </row>
    <row r="438">
      <c r="C438" s="582"/>
    </row>
    <row r="439">
      <c r="C439" s="582"/>
    </row>
    <row r="440">
      <c r="C440" s="582"/>
    </row>
    <row r="441">
      <c r="C441" s="582"/>
    </row>
    <row r="442">
      <c r="C442" s="582"/>
    </row>
    <row r="443">
      <c r="C443" s="582"/>
    </row>
    <row r="444">
      <c r="C444" s="582"/>
    </row>
    <row r="445">
      <c r="C445" s="582"/>
    </row>
    <row r="446">
      <c r="C446" s="582"/>
    </row>
    <row r="447">
      <c r="C447" s="582"/>
    </row>
    <row r="448">
      <c r="C448" s="582"/>
    </row>
    <row r="449">
      <c r="C449" s="582"/>
    </row>
    <row r="450">
      <c r="C450" s="582"/>
    </row>
    <row r="451">
      <c r="C451" s="582"/>
    </row>
    <row r="452">
      <c r="C452" s="582"/>
    </row>
    <row r="453">
      <c r="C453" s="582"/>
    </row>
    <row r="454">
      <c r="C454" s="582"/>
    </row>
    <row r="455">
      <c r="C455" s="582"/>
    </row>
    <row r="456">
      <c r="C456" s="582"/>
    </row>
    <row r="457">
      <c r="C457" s="582"/>
    </row>
    <row r="458">
      <c r="C458" s="582"/>
    </row>
    <row r="459">
      <c r="C459" s="582"/>
    </row>
    <row r="460">
      <c r="C460" s="582"/>
    </row>
    <row r="461">
      <c r="C461" s="582"/>
    </row>
    <row r="462">
      <c r="C462" s="582"/>
    </row>
    <row r="463">
      <c r="C463" s="582"/>
    </row>
    <row r="464">
      <c r="C464" s="582"/>
    </row>
    <row r="465">
      <c r="C465" s="582"/>
    </row>
    <row r="466">
      <c r="C466" s="582"/>
    </row>
    <row r="467">
      <c r="C467" s="582"/>
    </row>
    <row r="468">
      <c r="C468" s="582"/>
    </row>
    <row r="469">
      <c r="C469" s="582"/>
    </row>
    <row r="470">
      <c r="C470" s="582"/>
    </row>
    <row r="471">
      <c r="C471" s="582"/>
    </row>
    <row r="472">
      <c r="C472" s="582"/>
    </row>
    <row r="473">
      <c r="C473" s="582"/>
    </row>
    <row r="474">
      <c r="C474" s="582"/>
    </row>
    <row r="475">
      <c r="C475" s="582"/>
    </row>
    <row r="476">
      <c r="C476" s="582"/>
    </row>
    <row r="477">
      <c r="C477" s="582"/>
    </row>
    <row r="478">
      <c r="C478" s="582"/>
    </row>
    <row r="479">
      <c r="C479" s="582"/>
    </row>
    <row r="480">
      <c r="C480" s="582"/>
    </row>
    <row r="481">
      <c r="C481" s="582"/>
    </row>
    <row r="482">
      <c r="C482" s="582"/>
    </row>
    <row r="483">
      <c r="C483" s="582"/>
    </row>
    <row r="484">
      <c r="C484" s="582"/>
    </row>
    <row r="485">
      <c r="C485" s="582"/>
    </row>
    <row r="486">
      <c r="C486" s="582"/>
    </row>
    <row r="487">
      <c r="C487" s="582"/>
    </row>
    <row r="488">
      <c r="C488" s="582"/>
    </row>
    <row r="489">
      <c r="C489" s="582"/>
    </row>
    <row r="490">
      <c r="C490" s="582"/>
    </row>
    <row r="491">
      <c r="C491" s="582"/>
    </row>
    <row r="492">
      <c r="C492" s="582"/>
    </row>
    <row r="493">
      <c r="C493" s="582"/>
    </row>
    <row r="494">
      <c r="C494" s="582"/>
    </row>
    <row r="495">
      <c r="C495" s="582"/>
    </row>
    <row r="496">
      <c r="C496" s="582"/>
    </row>
    <row r="497">
      <c r="C497" s="582"/>
    </row>
    <row r="498">
      <c r="C498" s="582"/>
    </row>
    <row r="499">
      <c r="C499" s="582"/>
    </row>
    <row r="500">
      <c r="C500" s="582"/>
    </row>
    <row r="501">
      <c r="C501" s="582"/>
    </row>
    <row r="502">
      <c r="C502" s="582"/>
    </row>
    <row r="503">
      <c r="C503" s="582"/>
    </row>
    <row r="504">
      <c r="C504" s="582"/>
    </row>
    <row r="505">
      <c r="C505" s="582"/>
    </row>
    <row r="506">
      <c r="C506" s="582"/>
    </row>
    <row r="507">
      <c r="C507" s="582"/>
    </row>
    <row r="508">
      <c r="C508" s="582"/>
    </row>
    <row r="509">
      <c r="C509" s="582"/>
    </row>
    <row r="510">
      <c r="C510" s="582"/>
    </row>
    <row r="511">
      <c r="C511" s="582"/>
    </row>
    <row r="512">
      <c r="C512" s="582"/>
    </row>
    <row r="513">
      <c r="C513" s="582"/>
    </row>
    <row r="514">
      <c r="C514" s="582"/>
    </row>
    <row r="515">
      <c r="C515" s="582"/>
    </row>
    <row r="516">
      <c r="C516" s="582"/>
    </row>
    <row r="517">
      <c r="C517" s="582"/>
    </row>
    <row r="518">
      <c r="C518" s="582"/>
    </row>
    <row r="519">
      <c r="C519" s="582"/>
    </row>
    <row r="520">
      <c r="C520" s="582"/>
    </row>
    <row r="521">
      <c r="C521" s="582"/>
    </row>
    <row r="522">
      <c r="C522" s="582"/>
    </row>
    <row r="523">
      <c r="C523" s="582"/>
    </row>
    <row r="524">
      <c r="C524" s="582"/>
    </row>
    <row r="525">
      <c r="C525" s="582"/>
    </row>
    <row r="526">
      <c r="C526" s="582"/>
    </row>
    <row r="527">
      <c r="C527" s="582"/>
    </row>
    <row r="528">
      <c r="C528" s="582"/>
    </row>
    <row r="529">
      <c r="C529" s="582"/>
    </row>
    <row r="530">
      <c r="C530" s="582"/>
    </row>
    <row r="531">
      <c r="C531" s="582"/>
    </row>
    <row r="532">
      <c r="C532" s="582"/>
    </row>
    <row r="533">
      <c r="C533" s="582"/>
    </row>
    <row r="534">
      <c r="C534" s="582"/>
    </row>
    <row r="535">
      <c r="C535" s="582"/>
    </row>
    <row r="536">
      <c r="C536" s="582"/>
    </row>
    <row r="537">
      <c r="C537" s="582"/>
    </row>
    <row r="538">
      <c r="C538" s="582"/>
    </row>
    <row r="539">
      <c r="C539" s="582"/>
    </row>
    <row r="540">
      <c r="C540" s="582"/>
    </row>
    <row r="541">
      <c r="C541" s="582"/>
    </row>
    <row r="542">
      <c r="C542" s="582"/>
    </row>
    <row r="543">
      <c r="C543" s="582"/>
    </row>
    <row r="544">
      <c r="C544" s="582"/>
    </row>
    <row r="545">
      <c r="C545" s="582"/>
    </row>
    <row r="546">
      <c r="C546" s="582"/>
    </row>
    <row r="547">
      <c r="C547" s="582"/>
    </row>
    <row r="548">
      <c r="C548" s="582"/>
    </row>
    <row r="549">
      <c r="C549" s="582"/>
    </row>
    <row r="550">
      <c r="C550" s="582"/>
    </row>
    <row r="551">
      <c r="C551" s="582"/>
    </row>
    <row r="552">
      <c r="C552" s="582"/>
    </row>
    <row r="553">
      <c r="C553" s="582"/>
    </row>
    <row r="554">
      <c r="C554" s="582"/>
    </row>
    <row r="555">
      <c r="C555" s="582"/>
    </row>
    <row r="556">
      <c r="C556" s="582"/>
    </row>
    <row r="557">
      <c r="C557" s="582"/>
    </row>
    <row r="558">
      <c r="C558" s="582"/>
    </row>
    <row r="559">
      <c r="C559" s="582"/>
    </row>
    <row r="560">
      <c r="C560" s="582"/>
    </row>
    <row r="561">
      <c r="C561" s="582"/>
    </row>
    <row r="562">
      <c r="C562" s="582"/>
    </row>
    <row r="563">
      <c r="C563" s="582"/>
    </row>
    <row r="564">
      <c r="C564" s="582"/>
    </row>
    <row r="565">
      <c r="C565" s="582"/>
    </row>
    <row r="566">
      <c r="C566" s="582"/>
    </row>
    <row r="567">
      <c r="C567" s="582"/>
    </row>
    <row r="568">
      <c r="C568" s="582"/>
    </row>
    <row r="569">
      <c r="C569" s="582"/>
    </row>
    <row r="570">
      <c r="C570" s="582"/>
    </row>
    <row r="571">
      <c r="C571" s="582"/>
    </row>
    <row r="572">
      <c r="C572" s="582"/>
    </row>
    <row r="573">
      <c r="C573" s="582"/>
    </row>
    <row r="574">
      <c r="C574" s="582"/>
    </row>
    <row r="575">
      <c r="C575" s="582"/>
    </row>
    <row r="576">
      <c r="C576" s="582"/>
    </row>
    <row r="577">
      <c r="C577" s="582"/>
    </row>
    <row r="578">
      <c r="C578" s="582"/>
    </row>
    <row r="579">
      <c r="C579" s="582"/>
    </row>
    <row r="580">
      <c r="C580" s="582"/>
    </row>
    <row r="581">
      <c r="C581" s="582"/>
    </row>
    <row r="582">
      <c r="C582" s="582"/>
    </row>
    <row r="583">
      <c r="C583" s="582"/>
    </row>
    <row r="584">
      <c r="C584" s="582"/>
    </row>
    <row r="585">
      <c r="C585" s="582"/>
    </row>
    <row r="586">
      <c r="C586" s="582"/>
    </row>
    <row r="587">
      <c r="C587" s="582"/>
    </row>
    <row r="588">
      <c r="C588" s="582"/>
    </row>
    <row r="589">
      <c r="C589" s="582"/>
    </row>
    <row r="590">
      <c r="C590" s="582"/>
    </row>
    <row r="591">
      <c r="C591" s="582"/>
    </row>
    <row r="592">
      <c r="C592" s="582"/>
    </row>
    <row r="593">
      <c r="C593" s="582"/>
    </row>
    <row r="594">
      <c r="C594" s="582"/>
    </row>
    <row r="595">
      <c r="C595" s="582"/>
    </row>
    <row r="596">
      <c r="C596" s="582"/>
    </row>
    <row r="597">
      <c r="C597" s="582"/>
    </row>
    <row r="598">
      <c r="C598" s="582"/>
    </row>
    <row r="599">
      <c r="C599" s="582"/>
    </row>
    <row r="600">
      <c r="C600" s="582"/>
    </row>
    <row r="601">
      <c r="C601" s="582"/>
    </row>
    <row r="602">
      <c r="C602" s="582"/>
    </row>
    <row r="603">
      <c r="C603" s="582"/>
    </row>
    <row r="604">
      <c r="C604" s="582"/>
    </row>
    <row r="605">
      <c r="C605" s="582"/>
    </row>
    <row r="606">
      <c r="C606" s="582"/>
    </row>
    <row r="607">
      <c r="C607" s="582"/>
    </row>
    <row r="608">
      <c r="C608" s="582"/>
    </row>
    <row r="609">
      <c r="C609" s="582"/>
    </row>
    <row r="610">
      <c r="C610" s="582"/>
    </row>
    <row r="611">
      <c r="C611" s="582"/>
    </row>
    <row r="612">
      <c r="C612" s="582"/>
    </row>
    <row r="613">
      <c r="C613" s="582"/>
    </row>
    <row r="614">
      <c r="C614" s="582"/>
    </row>
    <row r="615">
      <c r="C615" s="582"/>
    </row>
    <row r="616">
      <c r="C616" s="582"/>
    </row>
    <row r="617">
      <c r="C617" s="582"/>
    </row>
    <row r="618">
      <c r="C618" s="582"/>
    </row>
    <row r="619">
      <c r="C619" s="582"/>
    </row>
    <row r="620">
      <c r="C620" s="582"/>
    </row>
    <row r="621">
      <c r="C621" s="582"/>
    </row>
    <row r="622">
      <c r="C622" s="582"/>
    </row>
    <row r="623">
      <c r="C623" s="582"/>
    </row>
    <row r="624">
      <c r="C624" s="582"/>
    </row>
    <row r="625">
      <c r="C625" s="582"/>
    </row>
    <row r="626">
      <c r="C626" s="582"/>
    </row>
    <row r="627">
      <c r="C627" s="582"/>
    </row>
    <row r="628">
      <c r="C628" s="582"/>
    </row>
    <row r="629">
      <c r="C629" s="582"/>
    </row>
    <row r="630">
      <c r="C630" s="582"/>
    </row>
    <row r="631">
      <c r="C631" s="582"/>
    </row>
    <row r="632">
      <c r="C632" s="582"/>
    </row>
    <row r="633">
      <c r="C633" s="582"/>
    </row>
    <row r="634">
      <c r="C634" s="582"/>
    </row>
    <row r="635">
      <c r="C635" s="582"/>
    </row>
    <row r="636">
      <c r="C636" s="582"/>
    </row>
    <row r="637">
      <c r="C637" s="582"/>
    </row>
    <row r="638">
      <c r="C638" s="582"/>
    </row>
    <row r="639">
      <c r="C639" s="582"/>
    </row>
    <row r="640">
      <c r="C640" s="582"/>
    </row>
    <row r="641">
      <c r="C641" s="582"/>
    </row>
    <row r="642">
      <c r="C642" s="582"/>
    </row>
    <row r="643">
      <c r="C643" s="582"/>
    </row>
    <row r="644">
      <c r="C644" s="582"/>
    </row>
    <row r="645">
      <c r="C645" s="582"/>
    </row>
    <row r="646">
      <c r="C646" s="582"/>
    </row>
    <row r="647">
      <c r="C647" s="582"/>
    </row>
    <row r="648">
      <c r="C648" s="582"/>
    </row>
    <row r="649">
      <c r="C649" s="582"/>
    </row>
    <row r="650">
      <c r="C650" s="582"/>
    </row>
    <row r="651">
      <c r="C651" s="582"/>
    </row>
    <row r="652">
      <c r="C652" s="582"/>
    </row>
    <row r="653">
      <c r="C653" s="582"/>
    </row>
    <row r="654">
      <c r="C654" s="582"/>
    </row>
    <row r="655">
      <c r="C655" s="582"/>
    </row>
    <row r="656">
      <c r="C656" s="582"/>
    </row>
    <row r="657">
      <c r="C657" s="582"/>
    </row>
    <row r="658">
      <c r="C658" s="582"/>
    </row>
    <row r="659">
      <c r="C659" s="582"/>
    </row>
    <row r="660">
      <c r="C660" s="582"/>
    </row>
    <row r="661">
      <c r="C661" s="582"/>
    </row>
    <row r="662">
      <c r="C662" s="582"/>
    </row>
    <row r="663">
      <c r="C663" s="582"/>
    </row>
    <row r="664">
      <c r="C664" s="582"/>
    </row>
    <row r="665">
      <c r="C665" s="582"/>
    </row>
    <row r="666">
      <c r="C666" s="582"/>
    </row>
    <row r="667">
      <c r="C667" s="582"/>
    </row>
    <row r="668">
      <c r="C668" s="582"/>
    </row>
    <row r="669">
      <c r="C669" s="582"/>
    </row>
    <row r="670">
      <c r="C670" s="582"/>
    </row>
    <row r="671">
      <c r="C671" s="582"/>
    </row>
    <row r="672">
      <c r="C672" s="582"/>
    </row>
    <row r="673">
      <c r="C673" s="582"/>
    </row>
    <row r="674">
      <c r="C674" s="582"/>
    </row>
    <row r="675">
      <c r="C675" s="582"/>
    </row>
    <row r="676">
      <c r="C676" s="582"/>
    </row>
    <row r="677">
      <c r="C677" s="582"/>
    </row>
    <row r="678">
      <c r="C678" s="582"/>
    </row>
    <row r="679">
      <c r="C679" s="582"/>
    </row>
    <row r="680">
      <c r="C680" s="582"/>
    </row>
    <row r="681">
      <c r="C681" s="582"/>
    </row>
    <row r="682">
      <c r="C682" s="582"/>
    </row>
    <row r="683">
      <c r="C683" s="582"/>
    </row>
    <row r="684">
      <c r="C684" s="582"/>
    </row>
    <row r="685">
      <c r="C685" s="582"/>
    </row>
    <row r="686">
      <c r="C686" s="582"/>
    </row>
    <row r="687">
      <c r="C687" s="582"/>
    </row>
    <row r="688">
      <c r="C688" s="582"/>
    </row>
    <row r="689">
      <c r="C689" s="582"/>
    </row>
    <row r="690">
      <c r="C690" s="582"/>
    </row>
    <row r="691">
      <c r="C691" s="582"/>
    </row>
    <row r="692">
      <c r="C692" s="582"/>
    </row>
    <row r="693">
      <c r="C693" s="582"/>
    </row>
    <row r="694">
      <c r="C694" s="582"/>
    </row>
    <row r="695">
      <c r="C695" s="582"/>
    </row>
    <row r="696">
      <c r="C696" s="582"/>
    </row>
    <row r="697">
      <c r="C697" s="582"/>
    </row>
    <row r="698">
      <c r="C698" s="582"/>
    </row>
    <row r="699">
      <c r="C699" s="582"/>
    </row>
    <row r="700">
      <c r="C700" s="582"/>
    </row>
    <row r="701">
      <c r="C701" s="582"/>
    </row>
    <row r="702">
      <c r="C702" s="582"/>
    </row>
    <row r="703">
      <c r="C703" s="582"/>
    </row>
    <row r="704">
      <c r="C704" s="582"/>
    </row>
    <row r="705">
      <c r="C705" s="582"/>
    </row>
    <row r="706">
      <c r="C706" s="582"/>
    </row>
    <row r="707">
      <c r="C707" s="582"/>
    </row>
    <row r="708">
      <c r="C708" s="582"/>
    </row>
    <row r="709">
      <c r="C709" s="582"/>
    </row>
    <row r="710">
      <c r="C710" s="582"/>
    </row>
    <row r="711">
      <c r="C711" s="582"/>
    </row>
    <row r="712">
      <c r="C712" s="582"/>
    </row>
    <row r="713">
      <c r="C713" s="582"/>
    </row>
    <row r="714">
      <c r="C714" s="582"/>
    </row>
    <row r="715">
      <c r="C715" s="582"/>
    </row>
    <row r="716">
      <c r="C716" s="582"/>
    </row>
    <row r="717">
      <c r="C717" s="582"/>
    </row>
    <row r="718">
      <c r="C718" s="582"/>
    </row>
    <row r="719">
      <c r="C719" s="582"/>
    </row>
    <row r="720">
      <c r="C720" s="582"/>
    </row>
    <row r="721">
      <c r="C721" s="582"/>
    </row>
    <row r="722">
      <c r="C722" s="582"/>
    </row>
    <row r="723">
      <c r="C723" s="582"/>
    </row>
    <row r="724">
      <c r="C724" s="582"/>
    </row>
    <row r="725">
      <c r="C725" s="582"/>
    </row>
    <row r="726">
      <c r="C726" s="582"/>
    </row>
    <row r="727">
      <c r="C727" s="582"/>
    </row>
    <row r="728">
      <c r="C728" s="582"/>
    </row>
    <row r="729">
      <c r="C729" s="582"/>
    </row>
    <row r="730">
      <c r="C730" s="582"/>
    </row>
    <row r="731">
      <c r="C731" s="582"/>
    </row>
    <row r="732">
      <c r="C732" s="582"/>
    </row>
    <row r="733">
      <c r="C733" s="582"/>
    </row>
    <row r="734">
      <c r="C734" s="582"/>
    </row>
    <row r="735">
      <c r="C735" s="582"/>
    </row>
    <row r="736">
      <c r="C736" s="582"/>
    </row>
    <row r="737">
      <c r="C737" s="582"/>
    </row>
    <row r="738">
      <c r="C738" s="582"/>
    </row>
    <row r="739">
      <c r="C739" s="582"/>
    </row>
    <row r="740">
      <c r="C740" s="582"/>
    </row>
    <row r="741">
      <c r="C741" s="582"/>
    </row>
    <row r="742">
      <c r="C742" s="582"/>
    </row>
    <row r="743">
      <c r="C743" s="582"/>
    </row>
    <row r="744">
      <c r="C744" s="582"/>
    </row>
    <row r="745">
      <c r="C745" s="582"/>
    </row>
    <row r="746">
      <c r="C746" s="582"/>
    </row>
    <row r="747">
      <c r="C747" s="582"/>
    </row>
    <row r="748">
      <c r="C748" s="582"/>
    </row>
    <row r="749">
      <c r="C749" s="582"/>
    </row>
    <row r="750">
      <c r="C750" s="582"/>
    </row>
    <row r="751">
      <c r="C751" s="582"/>
    </row>
    <row r="752">
      <c r="C752" s="582"/>
    </row>
    <row r="753">
      <c r="C753" s="582"/>
    </row>
    <row r="754">
      <c r="C754" s="582"/>
    </row>
    <row r="755">
      <c r="C755" s="582"/>
    </row>
    <row r="756">
      <c r="C756" s="582"/>
    </row>
    <row r="757">
      <c r="C757" s="582"/>
    </row>
    <row r="758">
      <c r="C758" s="582"/>
    </row>
    <row r="759">
      <c r="C759" s="582"/>
    </row>
    <row r="760">
      <c r="C760" s="582"/>
    </row>
    <row r="761">
      <c r="C761" s="582"/>
    </row>
    <row r="762">
      <c r="C762" s="582"/>
    </row>
    <row r="763">
      <c r="C763" s="582"/>
    </row>
    <row r="764">
      <c r="C764" s="582"/>
    </row>
    <row r="765">
      <c r="C765" s="582"/>
    </row>
    <row r="766">
      <c r="C766" s="582"/>
    </row>
    <row r="767">
      <c r="C767" s="582"/>
    </row>
    <row r="768">
      <c r="C768" s="582"/>
    </row>
    <row r="769">
      <c r="C769" s="582"/>
    </row>
    <row r="770">
      <c r="C770" s="582"/>
    </row>
    <row r="771">
      <c r="C771" s="582"/>
    </row>
    <row r="772">
      <c r="C772" s="582"/>
    </row>
    <row r="773">
      <c r="C773" s="582"/>
    </row>
    <row r="774">
      <c r="C774" s="582"/>
    </row>
    <row r="775">
      <c r="C775" s="582"/>
    </row>
    <row r="776">
      <c r="C776" s="582"/>
    </row>
    <row r="777">
      <c r="C777" s="582"/>
    </row>
    <row r="778">
      <c r="C778" s="582"/>
    </row>
    <row r="779">
      <c r="C779" s="582"/>
    </row>
    <row r="780">
      <c r="C780" s="582"/>
    </row>
    <row r="781">
      <c r="C781" s="582"/>
    </row>
    <row r="782">
      <c r="C782" s="582"/>
    </row>
    <row r="783">
      <c r="C783" s="582"/>
    </row>
    <row r="784">
      <c r="C784" s="582"/>
    </row>
    <row r="785">
      <c r="C785" s="582"/>
    </row>
    <row r="786">
      <c r="C786" s="582"/>
    </row>
    <row r="787">
      <c r="C787" s="582"/>
    </row>
    <row r="788">
      <c r="C788" s="582"/>
    </row>
    <row r="789">
      <c r="C789" s="582"/>
    </row>
    <row r="790">
      <c r="C790" s="582"/>
    </row>
    <row r="791">
      <c r="C791" s="582"/>
    </row>
    <row r="792">
      <c r="C792" s="582"/>
    </row>
    <row r="793">
      <c r="C793" s="582"/>
    </row>
    <row r="794">
      <c r="C794" s="582"/>
    </row>
    <row r="795">
      <c r="C795" s="582"/>
    </row>
    <row r="796">
      <c r="C796" s="582"/>
    </row>
    <row r="797">
      <c r="C797" s="582"/>
    </row>
    <row r="798">
      <c r="C798" s="582"/>
    </row>
    <row r="799">
      <c r="C799" s="582"/>
    </row>
    <row r="800">
      <c r="C800" s="582"/>
    </row>
    <row r="801">
      <c r="C801" s="582"/>
    </row>
    <row r="802">
      <c r="C802" s="582"/>
    </row>
    <row r="803">
      <c r="C803" s="582"/>
    </row>
    <row r="804">
      <c r="C804" s="582"/>
    </row>
    <row r="805">
      <c r="C805" s="582"/>
    </row>
    <row r="806">
      <c r="C806" s="582"/>
    </row>
    <row r="807">
      <c r="C807" s="582"/>
    </row>
    <row r="808">
      <c r="C808" s="582"/>
    </row>
    <row r="809">
      <c r="C809" s="582"/>
    </row>
    <row r="810">
      <c r="C810" s="582"/>
    </row>
    <row r="811">
      <c r="C811" s="582"/>
    </row>
    <row r="812">
      <c r="C812" s="582"/>
    </row>
    <row r="813">
      <c r="C813" s="582"/>
    </row>
    <row r="814">
      <c r="C814" s="582"/>
    </row>
    <row r="815">
      <c r="C815" s="582"/>
    </row>
    <row r="816">
      <c r="C816" s="582"/>
    </row>
    <row r="817">
      <c r="C817" s="582"/>
    </row>
    <row r="818">
      <c r="C818" s="582"/>
    </row>
    <row r="819">
      <c r="C819" s="582"/>
    </row>
    <row r="820">
      <c r="C820" s="582"/>
    </row>
    <row r="821">
      <c r="C821" s="582"/>
    </row>
    <row r="822">
      <c r="C822" s="582"/>
    </row>
    <row r="823">
      <c r="C823" s="582"/>
    </row>
    <row r="824">
      <c r="C824" s="582"/>
    </row>
    <row r="825">
      <c r="C825" s="582"/>
    </row>
    <row r="826">
      <c r="C826" s="582"/>
    </row>
    <row r="827">
      <c r="C827" s="582"/>
    </row>
    <row r="828">
      <c r="C828" s="582"/>
    </row>
    <row r="829">
      <c r="C829" s="582"/>
    </row>
    <row r="830">
      <c r="C830" s="582"/>
    </row>
    <row r="831">
      <c r="C831" s="582"/>
    </row>
    <row r="832">
      <c r="C832" s="582"/>
    </row>
    <row r="833">
      <c r="C833" s="582"/>
    </row>
    <row r="834">
      <c r="C834" s="582"/>
    </row>
    <row r="835">
      <c r="C835" s="582"/>
    </row>
    <row r="836">
      <c r="C836" s="582"/>
    </row>
    <row r="837">
      <c r="C837" s="582"/>
    </row>
    <row r="838">
      <c r="C838" s="582"/>
    </row>
    <row r="839">
      <c r="C839" s="582"/>
    </row>
    <row r="840">
      <c r="C840" s="582"/>
    </row>
    <row r="841">
      <c r="C841" s="582"/>
    </row>
    <row r="842">
      <c r="C842" s="582"/>
    </row>
    <row r="843">
      <c r="C843" s="582"/>
    </row>
    <row r="844">
      <c r="C844" s="582"/>
    </row>
    <row r="845">
      <c r="C845" s="582"/>
    </row>
    <row r="846">
      <c r="C846" s="582"/>
    </row>
    <row r="847">
      <c r="C847" s="582"/>
    </row>
    <row r="848">
      <c r="C848" s="582"/>
    </row>
    <row r="849">
      <c r="C849" s="582"/>
    </row>
    <row r="850">
      <c r="C850" s="582"/>
    </row>
    <row r="851">
      <c r="C851" s="582"/>
    </row>
    <row r="852">
      <c r="C852" s="582"/>
    </row>
    <row r="853">
      <c r="C853" s="582"/>
    </row>
    <row r="854">
      <c r="C854" s="582"/>
    </row>
    <row r="855">
      <c r="C855" s="582"/>
    </row>
    <row r="856">
      <c r="C856" s="582"/>
    </row>
    <row r="857">
      <c r="C857" s="582"/>
    </row>
    <row r="858">
      <c r="C858" s="582"/>
    </row>
    <row r="859">
      <c r="C859" s="582"/>
    </row>
    <row r="860">
      <c r="C860" s="582"/>
    </row>
    <row r="861">
      <c r="C861" s="582"/>
    </row>
    <row r="862">
      <c r="C862" s="582"/>
    </row>
    <row r="863">
      <c r="C863" s="582"/>
    </row>
    <row r="864">
      <c r="C864" s="582"/>
    </row>
    <row r="865">
      <c r="C865" s="582"/>
    </row>
    <row r="866">
      <c r="C866" s="582"/>
    </row>
    <row r="867">
      <c r="C867" s="582"/>
    </row>
    <row r="868">
      <c r="C868" s="582"/>
    </row>
    <row r="869">
      <c r="C869" s="582"/>
    </row>
    <row r="870">
      <c r="C870" s="582"/>
    </row>
    <row r="871">
      <c r="C871" s="582"/>
    </row>
    <row r="872">
      <c r="C872" s="582"/>
    </row>
    <row r="873">
      <c r="C873" s="582"/>
    </row>
    <row r="874">
      <c r="C874" s="582"/>
    </row>
    <row r="875">
      <c r="C875" s="582"/>
    </row>
    <row r="876">
      <c r="C876" s="582"/>
    </row>
    <row r="877">
      <c r="C877" s="582"/>
    </row>
    <row r="878">
      <c r="C878" s="582"/>
    </row>
    <row r="879">
      <c r="C879" s="582"/>
    </row>
    <row r="880">
      <c r="C880" s="582"/>
    </row>
    <row r="881">
      <c r="C881" s="582"/>
    </row>
    <row r="882">
      <c r="C882" s="582"/>
    </row>
    <row r="883">
      <c r="C883" s="582"/>
    </row>
    <row r="884">
      <c r="C884" s="582"/>
    </row>
    <row r="885">
      <c r="C885" s="582"/>
    </row>
    <row r="886">
      <c r="C886" s="582"/>
    </row>
    <row r="887">
      <c r="C887" s="582"/>
    </row>
    <row r="888">
      <c r="C888" s="582"/>
    </row>
    <row r="889">
      <c r="C889" s="582"/>
    </row>
    <row r="890">
      <c r="C890" s="582"/>
    </row>
    <row r="891">
      <c r="C891" s="582"/>
    </row>
    <row r="892">
      <c r="C892" s="582"/>
    </row>
    <row r="893">
      <c r="C893" s="582"/>
    </row>
    <row r="894">
      <c r="C894" s="582"/>
    </row>
    <row r="895">
      <c r="C895" s="582"/>
    </row>
    <row r="896">
      <c r="C896" s="582"/>
    </row>
    <row r="897">
      <c r="C897" s="582"/>
    </row>
    <row r="898">
      <c r="C898" s="582"/>
    </row>
    <row r="899">
      <c r="C899" s="582"/>
    </row>
    <row r="900">
      <c r="C900" s="582"/>
    </row>
    <row r="901">
      <c r="C901" s="582"/>
    </row>
    <row r="902">
      <c r="C902" s="582"/>
    </row>
    <row r="903">
      <c r="C903" s="582"/>
    </row>
    <row r="904">
      <c r="C904" s="582"/>
    </row>
    <row r="905">
      <c r="C905" s="582"/>
    </row>
    <row r="906">
      <c r="C906" s="582"/>
    </row>
    <row r="907">
      <c r="C907" s="582"/>
    </row>
    <row r="908">
      <c r="C908" s="582"/>
    </row>
    <row r="909">
      <c r="C909" s="582"/>
    </row>
    <row r="910">
      <c r="C910" s="582"/>
    </row>
    <row r="911">
      <c r="C911" s="582"/>
    </row>
    <row r="912">
      <c r="C912" s="582"/>
    </row>
    <row r="913">
      <c r="C913" s="582"/>
    </row>
    <row r="914">
      <c r="C914" s="582"/>
    </row>
    <row r="915">
      <c r="C915" s="582"/>
    </row>
    <row r="916">
      <c r="C916" s="582"/>
    </row>
    <row r="917">
      <c r="C917" s="582"/>
    </row>
    <row r="918">
      <c r="C918" s="582"/>
    </row>
    <row r="919">
      <c r="C919" s="582"/>
    </row>
    <row r="920">
      <c r="C920" s="582"/>
    </row>
    <row r="921">
      <c r="C921" s="582"/>
    </row>
    <row r="922">
      <c r="C922" s="582"/>
    </row>
    <row r="923">
      <c r="C923" s="582"/>
    </row>
    <row r="924">
      <c r="C924" s="582"/>
    </row>
    <row r="925">
      <c r="C925" s="582"/>
    </row>
    <row r="926">
      <c r="C926" s="582"/>
    </row>
    <row r="927">
      <c r="C927" s="582"/>
    </row>
    <row r="928">
      <c r="C928" s="582"/>
    </row>
    <row r="929">
      <c r="C929" s="582"/>
    </row>
    <row r="930">
      <c r="C930" s="582"/>
    </row>
    <row r="931">
      <c r="C931" s="582"/>
    </row>
    <row r="932">
      <c r="C932" s="582"/>
    </row>
    <row r="933">
      <c r="C933" s="582"/>
    </row>
    <row r="934">
      <c r="C934" s="582"/>
    </row>
    <row r="935">
      <c r="C935" s="582"/>
    </row>
    <row r="936">
      <c r="C936" s="582"/>
    </row>
    <row r="937">
      <c r="C937" s="582"/>
    </row>
    <row r="938">
      <c r="C938" s="582"/>
    </row>
    <row r="939">
      <c r="C939" s="582"/>
    </row>
    <row r="940">
      <c r="C940" s="582"/>
    </row>
    <row r="941">
      <c r="C941" s="582"/>
    </row>
    <row r="942">
      <c r="C942" s="582"/>
    </row>
    <row r="943">
      <c r="C943" s="582"/>
    </row>
    <row r="944">
      <c r="C944" s="582"/>
    </row>
    <row r="945">
      <c r="C945" s="582"/>
    </row>
    <row r="946">
      <c r="C946" s="582"/>
    </row>
    <row r="947">
      <c r="C947" s="582"/>
    </row>
    <row r="948">
      <c r="C948" s="582"/>
    </row>
    <row r="949">
      <c r="C949" s="582"/>
    </row>
    <row r="950">
      <c r="C950" s="582"/>
    </row>
    <row r="951">
      <c r="C951" s="582"/>
    </row>
    <row r="952">
      <c r="C952" s="582"/>
    </row>
    <row r="953">
      <c r="C953" s="582"/>
    </row>
    <row r="954">
      <c r="C954" s="582"/>
    </row>
    <row r="955">
      <c r="C955" s="582"/>
    </row>
    <row r="956">
      <c r="C956" s="582"/>
    </row>
    <row r="957">
      <c r="C957" s="582"/>
    </row>
    <row r="958">
      <c r="C958" s="582"/>
    </row>
    <row r="959">
      <c r="C959" s="582"/>
    </row>
    <row r="960">
      <c r="C960" s="582"/>
    </row>
    <row r="961">
      <c r="C961" s="582"/>
    </row>
    <row r="962">
      <c r="C962" s="582"/>
    </row>
    <row r="963">
      <c r="C963" s="582"/>
    </row>
    <row r="964">
      <c r="C964" s="582"/>
    </row>
    <row r="965">
      <c r="C965" s="582"/>
    </row>
    <row r="966">
      <c r="C966" s="582"/>
    </row>
    <row r="967">
      <c r="C967" s="582"/>
    </row>
    <row r="968">
      <c r="C968" s="582"/>
    </row>
    <row r="969">
      <c r="C969" s="582"/>
    </row>
    <row r="970">
      <c r="C970" s="582"/>
    </row>
    <row r="971">
      <c r="C971" s="582"/>
    </row>
  </sheetData>
  <mergeCells count="10">
    <mergeCell ref="A41:F41"/>
    <mergeCell ref="A42:F42"/>
    <mergeCell ref="A44:D44"/>
    <mergeCell ref="A1:F1"/>
    <mergeCell ref="A2:F2"/>
    <mergeCell ref="A4:D4"/>
    <mergeCell ref="A25:B25"/>
    <mergeCell ref="A26:F26"/>
    <mergeCell ref="A27:F27"/>
    <mergeCell ref="A29:D29"/>
  </mergeCells>
  <printOptions gridLines="1" horizontalCentered="1"/>
  <pageMargins bottom="0.75" footer="0.0" header="0.0" left="0.7" right="0.7" top="0.75"/>
  <pageSetup paperSize="9" scale="85" cellComments="atEnd" orientation="landscape" pageOrder="overThenDown"/>
  <drawing r:id="rId1"/>
  <tableParts count="3">
    <tablePart r:id="rId5"/>
    <tablePart r:id="rId6"/>
    <tablePart r:id="rId7"/>
  </tableParts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31.0"/>
    <col customWidth="1" min="2" max="2" width="11.63"/>
    <col customWidth="1" min="3" max="3" width="11.75"/>
    <col customWidth="1" min="4" max="4" width="11.63"/>
    <col customWidth="1" min="5" max="5" width="14.88"/>
    <col customWidth="1" min="6" max="6" width="58.25"/>
    <col customWidth="1" min="8" max="8" width="13.0"/>
  </cols>
  <sheetData>
    <row r="1">
      <c r="A1" s="203" t="s">
        <v>3</v>
      </c>
      <c r="F1" s="15"/>
      <c r="H1" s="501" t="s">
        <v>173</v>
      </c>
    </row>
    <row r="2">
      <c r="A2" s="225" t="s">
        <v>198</v>
      </c>
      <c r="B2" s="211"/>
      <c r="C2" s="211"/>
      <c r="D2" s="211"/>
      <c r="E2" s="211"/>
      <c r="F2" s="91"/>
      <c r="H2" s="502">
        <f>C23+C38+C47</f>
        <v>15632.5</v>
      </c>
    </row>
    <row r="3">
      <c r="A3" s="503">
        <v>32.5</v>
      </c>
      <c r="B3" s="228">
        <v>21.0</v>
      </c>
      <c r="C3" s="229" t="s">
        <v>477</v>
      </c>
      <c r="D3" s="230"/>
      <c r="E3" s="230"/>
      <c r="F3" s="110"/>
    </row>
    <row r="4">
      <c r="A4" s="232" t="s">
        <v>503</v>
      </c>
      <c r="B4" s="211"/>
      <c r="C4" s="211"/>
      <c r="D4" s="91"/>
      <c r="E4" s="504" t="s">
        <v>504</v>
      </c>
      <c r="F4" s="505" t="s">
        <v>24</v>
      </c>
    </row>
    <row r="5" ht="24.75" customHeight="1">
      <c r="A5" s="264" t="s">
        <v>176</v>
      </c>
      <c r="B5" s="265" t="s">
        <v>26</v>
      </c>
      <c r="C5" s="265" t="s">
        <v>119</v>
      </c>
      <c r="D5" s="235" t="s">
        <v>220</v>
      </c>
      <c r="E5" s="278" t="s">
        <v>253</v>
      </c>
      <c r="F5" s="336" t="s">
        <v>479</v>
      </c>
      <c r="G5" s="506"/>
      <c r="H5" s="506"/>
      <c r="I5" s="506"/>
      <c r="J5" s="506"/>
      <c r="K5" s="506"/>
      <c r="L5" s="506"/>
      <c r="M5" s="506"/>
      <c r="N5" s="506"/>
      <c r="O5" s="506"/>
      <c r="P5" s="506"/>
      <c r="Q5" s="506"/>
      <c r="R5" s="506"/>
      <c r="S5" s="506"/>
      <c r="T5" s="506"/>
      <c r="U5" s="506"/>
      <c r="V5" s="506"/>
      <c r="W5" s="506"/>
      <c r="X5" s="506"/>
      <c r="Y5" s="506"/>
      <c r="Z5" s="506"/>
    </row>
    <row r="6">
      <c r="A6" s="566" t="s">
        <v>33</v>
      </c>
      <c r="B6" s="567" t="s">
        <v>34</v>
      </c>
      <c r="C6" s="568">
        <f>$A$3*18</f>
        <v>585</v>
      </c>
      <c r="D6" s="569" t="s">
        <v>244</v>
      </c>
      <c r="E6" s="570" t="s">
        <v>481</v>
      </c>
      <c r="F6" s="571" t="s">
        <v>505</v>
      </c>
      <c r="G6" s="463"/>
      <c r="H6" s="463"/>
      <c r="I6" s="513"/>
    </row>
    <row r="7">
      <c r="A7" s="514" t="s">
        <v>35</v>
      </c>
      <c r="B7" s="508" t="s">
        <v>36</v>
      </c>
      <c r="C7" s="509">
        <f>$A$3*20</f>
        <v>650</v>
      </c>
      <c r="D7" s="510" t="s">
        <v>244</v>
      </c>
      <c r="E7" s="511" t="s">
        <v>481</v>
      </c>
      <c r="F7" s="512" t="s">
        <v>508</v>
      </c>
      <c r="G7" s="455"/>
      <c r="H7" s="455"/>
      <c r="I7" s="515"/>
      <c r="J7" s="170"/>
      <c r="K7" s="170"/>
      <c r="L7" s="170"/>
      <c r="M7" s="170"/>
      <c r="N7" s="170"/>
      <c r="O7" s="170"/>
      <c r="P7" s="170"/>
      <c r="Q7" s="170"/>
      <c r="R7" s="170"/>
      <c r="S7" s="170"/>
      <c r="T7" s="170"/>
      <c r="U7" s="170"/>
      <c r="V7" s="170"/>
      <c r="W7" s="170"/>
      <c r="X7" s="170"/>
      <c r="Y7" s="170"/>
      <c r="Z7" s="170"/>
    </row>
    <row r="8">
      <c r="A8" s="516" t="s">
        <v>482</v>
      </c>
      <c r="B8" s="517" t="s">
        <v>483</v>
      </c>
      <c r="C8" s="509">
        <f t="shared" ref="C8:C13" si="1">$A$3*$B$3</f>
        <v>682.5</v>
      </c>
      <c r="D8" s="510" t="s">
        <v>244</v>
      </c>
      <c r="E8" s="511" t="s">
        <v>481</v>
      </c>
      <c r="F8" s="512"/>
      <c r="G8" s="463"/>
      <c r="H8" s="463"/>
      <c r="I8" s="513"/>
    </row>
    <row r="9">
      <c r="A9" s="516" t="s">
        <v>100</v>
      </c>
      <c r="B9" s="517" t="s">
        <v>446</v>
      </c>
      <c r="C9" s="509">
        <f t="shared" si="1"/>
        <v>682.5</v>
      </c>
      <c r="D9" s="510" t="s">
        <v>244</v>
      </c>
      <c r="E9" s="511" t="s">
        <v>481</v>
      </c>
      <c r="F9" s="512"/>
      <c r="G9" s="463"/>
      <c r="H9" s="463"/>
      <c r="I9" s="513"/>
    </row>
    <row r="10">
      <c r="A10" s="516" t="s">
        <v>471</v>
      </c>
      <c r="B10" s="517" t="s">
        <v>423</v>
      </c>
      <c r="C10" s="509">
        <f t="shared" si="1"/>
        <v>682.5</v>
      </c>
      <c r="D10" s="510" t="s">
        <v>244</v>
      </c>
      <c r="E10" s="511" t="s">
        <v>481</v>
      </c>
      <c r="F10" s="512"/>
      <c r="G10" s="463"/>
      <c r="H10" s="463"/>
      <c r="I10" s="513"/>
    </row>
    <row r="11">
      <c r="A11" s="518" t="s">
        <v>234</v>
      </c>
      <c r="B11" s="519" t="s">
        <v>235</v>
      </c>
      <c r="C11" s="509">
        <f t="shared" si="1"/>
        <v>682.5</v>
      </c>
      <c r="D11" s="520" t="s">
        <v>244</v>
      </c>
      <c r="E11" s="511" t="s">
        <v>481</v>
      </c>
      <c r="F11" s="512"/>
      <c r="G11" s="463"/>
      <c r="H11" s="463"/>
      <c r="I11" s="513"/>
    </row>
    <row r="12">
      <c r="A12" s="521" t="s">
        <v>485</v>
      </c>
      <c r="B12" s="522" t="s">
        <v>486</v>
      </c>
      <c r="C12" s="509">
        <f t="shared" si="1"/>
        <v>682.5</v>
      </c>
      <c r="D12" s="520" t="s">
        <v>244</v>
      </c>
      <c r="E12" s="511" t="s">
        <v>481</v>
      </c>
      <c r="F12" s="523"/>
      <c r="G12" s="524"/>
      <c r="H12" s="524"/>
      <c r="I12" s="525"/>
      <c r="J12" s="526"/>
      <c r="K12" s="526"/>
      <c r="L12" s="526"/>
      <c r="M12" s="526"/>
      <c r="N12" s="526"/>
      <c r="O12" s="526"/>
      <c r="P12" s="526"/>
      <c r="Q12" s="526"/>
      <c r="R12" s="526"/>
      <c r="S12" s="526"/>
      <c r="T12" s="526"/>
      <c r="U12" s="526"/>
      <c r="V12" s="526"/>
      <c r="W12" s="526"/>
      <c r="X12" s="526"/>
      <c r="Y12" s="526"/>
      <c r="Z12" s="526"/>
    </row>
    <row r="13">
      <c r="A13" s="516" t="s">
        <v>488</v>
      </c>
      <c r="B13" s="490" t="s">
        <v>426</v>
      </c>
      <c r="C13" s="509">
        <f t="shared" si="1"/>
        <v>682.5</v>
      </c>
      <c r="D13" s="510" t="s">
        <v>244</v>
      </c>
      <c r="E13" s="511" t="s">
        <v>481</v>
      </c>
      <c r="F13" s="527"/>
      <c r="G13" s="451"/>
      <c r="H13" s="451"/>
      <c r="I13" s="513"/>
    </row>
    <row r="14">
      <c r="A14" s="528" t="s">
        <v>147</v>
      </c>
      <c r="B14" s="529" t="s">
        <v>148</v>
      </c>
      <c r="C14" s="509">
        <f>$A$3*8</f>
        <v>260</v>
      </c>
      <c r="D14" s="510" t="s">
        <v>244</v>
      </c>
      <c r="E14" s="511" t="s">
        <v>481</v>
      </c>
      <c r="F14" s="523" t="s">
        <v>510</v>
      </c>
      <c r="G14" s="463"/>
      <c r="H14" s="463"/>
      <c r="I14" s="513"/>
    </row>
    <row r="15">
      <c r="A15" s="514" t="s">
        <v>61</v>
      </c>
      <c r="B15" s="508" t="s">
        <v>62</v>
      </c>
      <c r="C15" s="509">
        <f>$A$3*$B$3</f>
        <v>682.5</v>
      </c>
      <c r="D15" s="510" t="s">
        <v>244</v>
      </c>
      <c r="E15" s="511" t="s">
        <v>481</v>
      </c>
      <c r="F15" s="512"/>
      <c r="G15" s="455"/>
      <c r="H15" s="492"/>
      <c r="I15" s="515"/>
      <c r="J15" s="170"/>
      <c r="K15" s="170"/>
      <c r="L15" s="170"/>
      <c r="M15" s="170"/>
      <c r="N15" s="170"/>
      <c r="O15" s="170"/>
      <c r="P15" s="170"/>
      <c r="Q15" s="170"/>
      <c r="R15" s="170"/>
      <c r="S15" s="170"/>
      <c r="T15" s="170"/>
      <c r="U15" s="170"/>
      <c r="V15" s="170"/>
      <c r="W15" s="170"/>
      <c r="X15" s="170"/>
      <c r="Y15" s="170"/>
      <c r="Z15" s="170"/>
    </row>
    <row r="16">
      <c r="A16" s="518" t="s">
        <v>315</v>
      </c>
      <c r="B16" s="517" t="s">
        <v>325</v>
      </c>
      <c r="C16" s="509">
        <f>$A$3*4</f>
        <v>130</v>
      </c>
      <c r="D16" s="510" t="s">
        <v>244</v>
      </c>
      <c r="E16" s="511" t="s">
        <v>481</v>
      </c>
      <c r="F16" s="523" t="s">
        <v>511</v>
      </c>
      <c r="G16" s="583" t="s">
        <v>512</v>
      </c>
      <c r="H16" s="451"/>
      <c r="I16" s="513"/>
    </row>
    <row r="17">
      <c r="A17" s="516" t="s">
        <v>430</v>
      </c>
      <c r="B17" s="517" t="s">
        <v>431</v>
      </c>
      <c r="C17" s="509">
        <f t="shared" ref="C17:C18" si="2">$A$3*$B$3</f>
        <v>682.5</v>
      </c>
      <c r="D17" s="510" t="s">
        <v>244</v>
      </c>
      <c r="E17" s="511" t="s">
        <v>481</v>
      </c>
      <c r="F17" s="478"/>
      <c r="G17" s="451"/>
      <c r="H17" s="451"/>
      <c r="I17" s="513"/>
    </row>
    <row r="18">
      <c r="A18" s="516" t="s">
        <v>475</v>
      </c>
      <c r="B18" s="490" t="s">
        <v>454</v>
      </c>
      <c r="C18" s="509">
        <f t="shared" si="2"/>
        <v>682.5</v>
      </c>
      <c r="D18" s="510" t="s">
        <v>244</v>
      </c>
      <c r="E18" s="511" t="s">
        <v>481</v>
      </c>
      <c r="F18" s="478"/>
      <c r="G18" s="451"/>
      <c r="H18" s="451"/>
      <c r="I18" s="513"/>
    </row>
    <row r="19">
      <c r="A19" s="518" t="s">
        <v>171</v>
      </c>
      <c r="B19" s="517" t="s">
        <v>224</v>
      </c>
      <c r="C19" s="509">
        <f>$A$3*12</f>
        <v>390</v>
      </c>
      <c r="D19" s="510" t="s">
        <v>244</v>
      </c>
      <c r="E19" s="511" t="s">
        <v>481</v>
      </c>
      <c r="F19" s="523" t="s">
        <v>513</v>
      </c>
      <c r="G19" s="451"/>
      <c r="H19" s="451"/>
      <c r="I19" s="513"/>
    </row>
    <row r="20">
      <c r="A20" s="516" t="s">
        <v>476</v>
      </c>
      <c r="B20" s="517" t="s">
        <v>201</v>
      </c>
      <c r="C20" s="509">
        <f>$A$3*20</f>
        <v>650</v>
      </c>
      <c r="D20" s="510" t="s">
        <v>244</v>
      </c>
      <c r="E20" s="511" t="s">
        <v>481</v>
      </c>
      <c r="F20" s="512" t="s">
        <v>508</v>
      </c>
      <c r="G20" s="463"/>
      <c r="H20" s="463"/>
      <c r="I20" s="513"/>
    </row>
    <row r="21">
      <c r="A21" s="516" t="s">
        <v>455</v>
      </c>
      <c r="B21" s="490" t="s">
        <v>456</v>
      </c>
      <c r="C21" s="509">
        <f t="shared" ref="C21:C22" si="3">$A$3*$B$3</f>
        <v>682.5</v>
      </c>
      <c r="D21" s="510" t="s">
        <v>244</v>
      </c>
      <c r="E21" s="511" t="s">
        <v>481</v>
      </c>
      <c r="F21" s="523"/>
      <c r="G21" s="451"/>
      <c r="H21" s="451"/>
      <c r="I21" s="513"/>
    </row>
    <row r="22">
      <c r="A22" s="531" t="s">
        <v>77</v>
      </c>
      <c r="B22" s="532" t="s">
        <v>78</v>
      </c>
      <c r="C22" s="509">
        <f t="shared" si="3"/>
        <v>682.5</v>
      </c>
      <c r="D22" s="534" t="s">
        <v>244</v>
      </c>
      <c r="E22" s="535" t="s">
        <v>481</v>
      </c>
      <c r="F22" s="536"/>
      <c r="G22" s="451"/>
      <c r="H22" s="451"/>
      <c r="I22" s="513"/>
    </row>
    <row r="23">
      <c r="A23" s="324" t="s">
        <v>288</v>
      </c>
      <c r="B23" s="325"/>
      <c r="C23" s="561">
        <f>SUM(C6:C22)</f>
        <v>10172.5</v>
      </c>
      <c r="D23" s="321"/>
      <c r="E23" s="321"/>
      <c r="F23" s="327"/>
      <c r="G23" s="513"/>
      <c r="H23" s="513"/>
      <c r="I23" s="513"/>
    </row>
    <row r="24">
      <c r="A24" s="538"/>
      <c r="B24" s="539"/>
      <c r="C24" s="564"/>
      <c r="D24" s="541"/>
      <c r="E24" s="541"/>
      <c r="F24" s="542"/>
      <c r="G24" s="287"/>
    </row>
    <row r="25">
      <c r="A25" s="543"/>
      <c r="B25" s="544"/>
      <c r="C25" s="565"/>
      <c r="D25" s="546"/>
      <c r="E25" s="546"/>
      <c r="F25" s="546"/>
      <c r="G25" s="170"/>
      <c r="H25" s="170"/>
      <c r="I25" s="170"/>
      <c r="J25" s="170"/>
      <c r="K25" s="170"/>
      <c r="L25" s="170"/>
      <c r="M25" s="170"/>
      <c r="N25" s="170"/>
      <c r="O25" s="170"/>
      <c r="P25" s="170"/>
      <c r="Q25" s="170"/>
      <c r="R25" s="170"/>
      <c r="S25" s="170"/>
      <c r="T25" s="170"/>
      <c r="U25" s="170"/>
      <c r="V25" s="170"/>
      <c r="W25" s="170"/>
      <c r="X25" s="170"/>
      <c r="Y25" s="170"/>
      <c r="Z25" s="170"/>
    </row>
    <row r="26">
      <c r="A26" s="547" t="s">
        <v>3</v>
      </c>
      <c r="B26" s="211"/>
      <c r="C26" s="211"/>
      <c r="D26" s="211"/>
      <c r="E26" s="211"/>
      <c r="F26" s="91"/>
      <c r="G26" s="170"/>
      <c r="H26" s="170"/>
      <c r="I26" s="170"/>
      <c r="J26" s="170"/>
      <c r="K26" s="170"/>
      <c r="L26" s="170"/>
      <c r="M26" s="170"/>
      <c r="N26" s="170"/>
      <c r="O26" s="170"/>
      <c r="P26" s="170"/>
      <c r="Q26" s="170"/>
      <c r="R26" s="170"/>
      <c r="S26" s="170"/>
      <c r="T26" s="170"/>
      <c r="U26" s="170"/>
      <c r="V26" s="170"/>
      <c r="W26" s="170"/>
      <c r="X26" s="170"/>
      <c r="Y26" s="170"/>
      <c r="Z26" s="170"/>
    </row>
    <row r="27">
      <c r="A27" s="225" t="s">
        <v>188</v>
      </c>
      <c r="B27" s="211"/>
      <c r="C27" s="211"/>
      <c r="D27" s="211"/>
      <c r="E27" s="211"/>
      <c r="F27" s="91"/>
      <c r="G27" s="170"/>
      <c r="H27" s="170"/>
      <c r="I27" s="170"/>
      <c r="J27" s="170"/>
      <c r="K27" s="170"/>
      <c r="L27" s="170"/>
      <c r="M27" s="170"/>
      <c r="N27" s="170"/>
      <c r="O27" s="170"/>
      <c r="P27" s="170"/>
      <c r="Q27" s="170"/>
      <c r="R27" s="170"/>
      <c r="S27" s="170"/>
      <c r="T27" s="170"/>
      <c r="U27" s="170"/>
      <c r="V27" s="170"/>
      <c r="W27" s="170"/>
      <c r="X27" s="170"/>
      <c r="Y27" s="170"/>
      <c r="Z27" s="170"/>
    </row>
    <row r="28">
      <c r="A28" s="548">
        <v>32.5</v>
      </c>
      <c r="B28" s="549">
        <v>21.0</v>
      </c>
      <c r="C28" s="550" t="s">
        <v>477</v>
      </c>
      <c r="D28" s="551" t="s">
        <v>117</v>
      </c>
      <c r="E28" s="551"/>
      <c r="F28" s="552"/>
      <c r="G28" s="170"/>
      <c r="H28" s="170"/>
      <c r="I28" s="170"/>
      <c r="J28" s="170"/>
      <c r="K28" s="170"/>
      <c r="L28" s="170"/>
      <c r="M28" s="170"/>
      <c r="N28" s="170"/>
      <c r="O28" s="170"/>
      <c r="P28" s="170"/>
      <c r="Q28" s="170"/>
      <c r="R28" s="170"/>
      <c r="S28" s="170"/>
      <c r="T28" s="170"/>
      <c r="U28" s="170"/>
      <c r="V28" s="170"/>
      <c r="W28" s="170"/>
      <c r="X28" s="170"/>
      <c r="Y28" s="170"/>
      <c r="Z28" s="170"/>
    </row>
    <row r="29">
      <c r="A29" s="232" t="s">
        <v>503</v>
      </c>
      <c r="B29" s="211"/>
      <c r="C29" s="211"/>
      <c r="D29" s="91"/>
      <c r="E29" s="504" t="s">
        <v>504</v>
      </c>
      <c r="F29" s="554" t="s">
        <v>24</v>
      </c>
      <c r="G29" s="170"/>
      <c r="H29" s="170"/>
      <c r="I29" s="170"/>
      <c r="J29" s="170"/>
      <c r="K29" s="170"/>
      <c r="L29" s="170"/>
      <c r="M29" s="170"/>
      <c r="N29" s="170"/>
      <c r="O29" s="170"/>
      <c r="P29" s="170"/>
      <c r="Q29" s="170"/>
      <c r="R29" s="170"/>
      <c r="S29" s="170"/>
      <c r="T29" s="170"/>
      <c r="U29" s="170"/>
      <c r="V29" s="170"/>
      <c r="W29" s="170"/>
      <c r="X29" s="170"/>
      <c r="Y29" s="170"/>
      <c r="Z29" s="170"/>
    </row>
    <row r="30">
      <c r="A30" s="264" t="s">
        <v>176</v>
      </c>
      <c r="B30" s="265" t="s">
        <v>26</v>
      </c>
      <c r="C30" s="265" t="s">
        <v>119</v>
      </c>
      <c r="D30" s="235" t="s">
        <v>220</v>
      </c>
      <c r="E30" s="278" t="s">
        <v>253</v>
      </c>
      <c r="F30" s="336" t="s">
        <v>479</v>
      </c>
      <c r="G30" s="555"/>
      <c r="H30" s="555"/>
      <c r="I30" s="555"/>
      <c r="J30" s="555"/>
      <c r="K30" s="555"/>
      <c r="L30" s="555"/>
      <c r="M30" s="555"/>
      <c r="N30" s="555"/>
      <c r="O30" s="555"/>
      <c r="P30" s="555"/>
      <c r="Q30" s="555"/>
      <c r="R30" s="555"/>
      <c r="S30" s="555"/>
      <c r="T30" s="555"/>
      <c r="U30" s="555"/>
      <c r="V30" s="555"/>
      <c r="W30" s="555"/>
      <c r="X30" s="555"/>
      <c r="Y30" s="555"/>
      <c r="Z30" s="555"/>
    </row>
    <row r="31">
      <c r="A31" s="386" t="s">
        <v>480</v>
      </c>
      <c r="B31" s="387" t="s">
        <v>239</v>
      </c>
      <c r="C31" s="509">
        <f t="shared" ref="C31:C37" si="4">$A$28*$B$3</f>
        <v>682.5</v>
      </c>
      <c r="D31" s="389" t="s">
        <v>244</v>
      </c>
      <c r="E31" s="390" t="s">
        <v>494</v>
      </c>
      <c r="F31" s="572"/>
      <c r="G31" s="584"/>
      <c r="H31" s="574"/>
      <c r="I31" s="575"/>
      <c r="J31" s="576"/>
      <c r="K31" s="578"/>
      <c r="L31" s="170"/>
      <c r="M31" s="170"/>
      <c r="N31" s="170"/>
      <c r="O31" s="170"/>
      <c r="P31" s="170"/>
      <c r="Q31" s="170"/>
      <c r="R31" s="170"/>
      <c r="S31" s="170"/>
      <c r="T31" s="170"/>
      <c r="U31" s="170"/>
      <c r="V31" s="170"/>
      <c r="W31" s="170"/>
      <c r="X31" s="170"/>
      <c r="Y31" s="170"/>
      <c r="Z31" s="170"/>
    </row>
    <row r="32">
      <c r="A32" s="392" t="s">
        <v>363</v>
      </c>
      <c r="B32" s="387" t="s">
        <v>364</v>
      </c>
      <c r="C32" s="509">
        <f t="shared" si="4"/>
        <v>682.5</v>
      </c>
      <c r="D32" s="389" t="s">
        <v>244</v>
      </c>
      <c r="E32" s="390" t="s">
        <v>494</v>
      </c>
      <c r="F32" s="450"/>
      <c r="G32" s="575"/>
      <c r="H32" s="576"/>
      <c r="I32" s="575"/>
      <c r="J32" s="575"/>
      <c r="K32" s="575"/>
    </row>
    <row r="33">
      <c r="A33" s="392" t="s">
        <v>484</v>
      </c>
      <c r="B33" s="393" t="s">
        <v>250</v>
      </c>
      <c r="C33" s="509">
        <f t="shared" si="4"/>
        <v>682.5</v>
      </c>
      <c r="D33" s="396" t="s">
        <v>244</v>
      </c>
      <c r="E33" s="390" t="s">
        <v>494</v>
      </c>
      <c r="F33" s="478"/>
      <c r="G33" s="578"/>
      <c r="H33" s="578"/>
      <c r="I33" s="578"/>
      <c r="J33" s="578"/>
      <c r="K33" s="578"/>
    </row>
    <row r="34">
      <c r="A34" s="400" t="s">
        <v>80</v>
      </c>
      <c r="B34" s="402" t="s">
        <v>81</v>
      </c>
      <c r="C34" s="509">
        <f t="shared" si="4"/>
        <v>682.5</v>
      </c>
      <c r="D34" s="396" t="s">
        <v>244</v>
      </c>
      <c r="E34" s="390" t="s">
        <v>494</v>
      </c>
      <c r="F34" s="480"/>
      <c r="G34" s="579"/>
      <c r="H34" s="579"/>
      <c r="I34" s="579"/>
      <c r="J34" s="579"/>
      <c r="K34" s="579"/>
    </row>
    <row r="35">
      <c r="A35" s="400" t="s">
        <v>59</v>
      </c>
      <c r="B35" s="402" t="s">
        <v>60</v>
      </c>
      <c r="C35" s="509">
        <f t="shared" si="4"/>
        <v>682.5</v>
      </c>
      <c r="D35" s="396" t="s">
        <v>244</v>
      </c>
      <c r="E35" s="390" t="s">
        <v>494</v>
      </c>
      <c r="F35" s="405"/>
      <c r="G35" s="578"/>
      <c r="H35" s="578"/>
      <c r="I35" s="578"/>
      <c r="J35" s="578"/>
      <c r="K35" s="578"/>
    </row>
    <row r="36">
      <c r="A36" s="386" t="s">
        <v>487</v>
      </c>
      <c r="B36" s="389" t="s">
        <v>395</v>
      </c>
      <c r="C36" s="509">
        <f t="shared" si="4"/>
        <v>682.5</v>
      </c>
      <c r="D36" s="396" t="s">
        <v>244</v>
      </c>
      <c r="E36" s="390" t="s">
        <v>494</v>
      </c>
      <c r="F36" s="450"/>
      <c r="G36" s="575"/>
      <c r="H36" s="575"/>
      <c r="I36" s="575"/>
      <c r="J36" s="575"/>
      <c r="K36" s="575"/>
    </row>
    <row r="37">
      <c r="A37" s="406" t="s">
        <v>134</v>
      </c>
      <c r="B37" s="389" t="s">
        <v>135</v>
      </c>
      <c r="C37" s="509">
        <f t="shared" si="4"/>
        <v>682.5</v>
      </c>
      <c r="D37" s="389" t="s">
        <v>244</v>
      </c>
      <c r="E37" s="390" t="s">
        <v>494</v>
      </c>
      <c r="F37" s="478"/>
      <c r="G37" s="578"/>
      <c r="H37" s="578"/>
      <c r="I37" s="578"/>
      <c r="J37" s="578"/>
      <c r="K37" s="578"/>
    </row>
    <row r="38">
      <c r="A38" s="290" t="s">
        <v>288</v>
      </c>
      <c r="B38" s="290"/>
      <c r="C38" s="561">
        <f>SUM(C31:C37)</f>
        <v>4777.5</v>
      </c>
      <c r="D38" s="218"/>
      <c r="E38" s="218"/>
      <c r="F38" s="218"/>
    </row>
    <row r="39">
      <c r="A39" s="557"/>
      <c r="B39" s="557"/>
      <c r="C39" s="580"/>
      <c r="D39" s="557"/>
      <c r="E39" s="557"/>
      <c r="F39" s="557"/>
    </row>
    <row r="40">
      <c r="A40" s="558"/>
      <c r="B40" s="558"/>
      <c r="C40" s="581"/>
      <c r="D40" s="558"/>
      <c r="E40" s="558"/>
      <c r="F40" s="558"/>
    </row>
    <row r="41">
      <c r="A41" s="547" t="s">
        <v>3</v>
      </c>
      <c r="B41" s="211"/>
      <c r="C41" s="211"/>
      <c r="D41" s="211"/>
      <c r="E41" s="211"/>
      <c r="F41" s="91"/>
    </row>
    <row r="42">
      <c r="A42" s="225" t="s">
        <v>460</v>
      </c>
      <c r="B42" s="211"/>
      <c r="C42" s="211"/>
      <c r="D42" s="211"/>
      <c r="E42" s="211"/>
      <c r="F42" s="91"/>
    </row>
    <row r="43">
      <c r="A43" s="548">
        <v>32.5</v>
      </c>
      <c r="B43" s="549">
        <v>21.0</v>
      </c>
      <c r="C43" s="229" t="s">
        <v>477</v>
      </c>
      <c r="D43" s="551" t="s">
        <v>117</v>
      </c>
      <c r="E43" s="551"/>
      <c r="F43" s="552"/>
    </row>
    <row r="44">
      <c r="A44" s="232" t="s">
        <v>503</v>
      </c>
      <c r="B44" s="211"/>
      <c r="C44" s="211"/>
      <c r="D44" s="91"/>
      <c r="E44" s="504" t="s">
        <v>504</v>
      </c>
      <c r="F44" s="554" t="s">
        <v>24</v>
      </c>
    </row>
    <row r="45">
      <c r="A45" s="264" t="s">
        <v>176</v>
      </c>
      <c r="B45" s="264" t="s">
        <v>26</v>
      </c>
      <c r="C45" s="264" t="s">
        <v>119</v>
      </c>
      <c r="D45" s="559" t="s">
        <v>220</v>
      </c>
      <c r="E45" s="559" t="s">
        <v>253</v>
      </c>
      <c r="F45" s="560" t="s">
        <v>479</v>
      </c>
    </row>
    <row r="46">
      <c r="A46" s="392" t="s">
        <v>492</v>
      </c>
      <c r="B46" s="387" t="s">
        <v>500</v>
      </c>
      <c r="C46" s="562">
        <f>$A$43*$B$3</f>
        <v>682.5</v>
      </c>
      <c r="D46" s="389" t="s">
        <v>244</v>
      </c>
      <c r="E46" s="389" t="s">
        <v>466</v>
      </c>
      <c r="F46" s="563"/>
    </row>
    <row r="47">
      <c r="A47" s="290" t="s">
        <v>288</v>
      </c>
      <c r="B47" s="290"/>
      <c r="C47" s="561">
        <f>SUM(C46)</f>
        <v>682.5</v>
      </c>
      <c r="D47" s="218"/>
      <c r="E47" s="218"/>
      <c r="F47" s="218"/>
    </row>
    <row r="48">
      <c r="C48" s="582"/>
    </row>
    <row r="49">
      <c r="C49" s="582"/>
    </row>
    <row r="50">
      <c r="C50" s="582"/>
    </row>
    <row r="51">
      <c r="C51" s="582"/>
    </row>
    <row r="52">
      <c r="C52" s="582"/>
    </row>
    <row r="53">
      <c r="C53" s="582"/>
    </row>
    <row r="54">
      <c r="C54" s="582"/>
    </row>
    <row r="55">
      <c r="C55" s="582"/>
    </row>
    <row r="56">
      <c r="C56" s="582"/>
    </row>
    <row r="57">
      <c r="C57" s="582"/>
    </row>
    <row r="58">
      <c r="C58" s="582"/>
    </row>
    <row r="59">
      <c r="C59" s="582"/>
    </row>
    <row r="60">
      <c r="C60" s="582"/>
    </row>
    <row r="61">
      <c r="C61" s="582"/>
    </row>
    <row r="62">
      <c r="C62" s="582"/>
    </row>
    <row r="63">
      <c r="C63" s="582"/>
    </row>
    <row r="64">
      <c r="C64" s="582"/>
    </row>
    <row r="65">
      <c r="C65" s="582"/>
    </row>
    <row r="66">
      <c r="C66" s="582"/>
    </row>
    <row r="67">
      <c r="C67" s="582"/>
    </row>
    <row r="68">
      <c r="C68" s="582"/>
    </row>
    <row r="69">
      <c r="C69" s="582"/>
    </row>
    <row r="70">
      <c r="C70" s="582"/>
    </row>
    <row r="71">
      <c r="C71" s="582"/>
    </row>
    <row r="72">
      <c r="C72" s="582"/>
    </row>
    <row r="73">
      <c r="C73" s="582"/>
    </row>
    <row r="74">
      <c r="C74" s="582"/>
    </row>
    <row r="75">
      <c r="C75" s="582"/>
    </row>
    <row r="76">
      <c r="C76" s="582"/>
    </row>
    <row r="77">
      <c r="C77" s="582"/>
    </row>
    <row r="78">
      <c r="C78" s="582"/>
    </row>
    <row r="79">
      <c r="C79" s="582"/>
    </row>
    <row r="80">
      <c r="C80" s="582"/>
    </row>
    <row r="81">
      <c r="C81" s="582"/>
    </row>
    <row r="82">
      <c r="C82" s="582"/>
    </row>
    <row r="83">
      <c r="C83" s="582"/>
    </row>
    <row r="84">
      <c r="C84" s="582"/>
    </row>
    <row r="85">
      <c r="C85" s="582"/>
    </row>
    <row r="86">
      <c r="C86" s="582"/>
    </row>
    <row r="87">
      <c r="C87" s="582"/>
    </row>
    <row r="88">
      <c r="C88" s="582"/>
    </row>
    <row r="89">
      <c r="C89" s="582"/>
    </row>
    <row r="90">
      <c r="C90" s="582"/>
    </row>
    <row r="91">
      <c r="C91" s="582"/>
    </row>
    <row r="92">
      <c r="C92" s="582"/>
    </row>
    <row r="93">
      <c r="C93" s="582"/>
    </row>
    <row r="94">
      <c r="C94" s="582"/>
    </row>
    <row r="95">
      <c r="C95" s="582"/>
    </row>
    <row r="96">
      <c r="C96" s="582"/>
    </row>
    <row r="97">
      <c r="C97" s="582"/>
    </row>
    <row r="98">
      <c r="C98" s="582"/>
    </row>
    <row r="99">
      <c r="C99" s="582"/>
    </row>
    <row r="100">
      <c r="C100" s="582"/>
    </row>
    <row r="101">
      <c r="C101" s="582"/>
    </row>
    <row r="102">
      <c r="C102" s="582"/>
    </row>
    <row r="103">
      <c r="C103" s="582"/>
    </row>
    <row r="104">
      <c r="C104" s="582"/>
    </row>
    <row r="105">
      <c r="C105" s="582"/>
    </row>
    <row r="106">
      <c r="C106" s="582"/>
    </row>
    <row r="107">
      <c r="C107" s="582"/>
    </row>
    <row r="108">
      <c r="C108" s="582"/>
    </row>
    <row r="109">
      <c r="C109" s="582"/>
    </row>
    <row r="110">
      <c r="C110" s="582"/>
    </row>
    <row r="111">
      <c r="C111" s="582"/>
    </row>
    <row r="112">
      <c r="C112" s="582"/>
    </row>
    <row r="113">
      <c r="C113" s="582"/>
    </row>
    <row r="114">
      <c r="C114" s="582"/>
    </row>
    <row r="115">
      <c r="C115" s="582"/>
    </row>
    <row r="116">
      <c r="C116" s="582"/>
    </row>
    <row r="117">
      <c r="C117" s="582"/>
    </row>
    <row r="118">
      <c r="C118" s="582"/>
    </row>
    <row r="119">
      <c r="C119" s="582"/>
    </row>
    <row r="120">
      <c r="C120" s="582"/>
    </row>
    <row r="121">
      <c r="C121" s="582"/>
    </row>
    <row r="122">
      <c r="C122" s="582"/>
    </row>
    <row r="123">
      <c r="C123" s="582"/>
    </row>
    <row r="124">
      <c r="C124" s="582"/>
    </row>
    <row r="125">
      <c r="C125" s="582"/>
    </row>
    <row r="126">
      <c r="C126" s="582"/>
    </row>
    <row r="127">
      <c r="C127" s="582"/>
    </row>
    <row r="128">
      <c r="C128" s="582"/>
    </row>
    <row r="129">
      <c r="C129" s="582"/>
    </row>
    <row r="130">
      <c r="C130" s="582"/>
    </row>
    <row r="131">
      <c r="C131" s="582"/>
    </row>
    <row r="132">
      <c r="C132" s="582"/>
    </row>
    <row r="133">
      <c r="C133" s="582"/>
    </row>
    <row r="134">
      <c r="C134" s="582"/>
    </row>
    <row r="135">
      <c r="C135" s="582"/>
    </row>
    <row r="136">
      <c r="C136" s="582"/>
    </row>
    <row r="137">
      <c r="C137" s="582"/>
    </row>
    <row r="138">
      <c r="C138" s="582"/>
    </row>
    <row r="139">
      <c r="C139" s="582"/>
    </row>
    <row r="140">
      <c r="C140" s="582"/>
    </row>
    <row r="141">
      <c r="C141" s="582"/>
    </row>
    <row r="142">
      <c r="C142" s="582"/>
    </row>
    <row r="143">
      <c r="C143" s="582"/>
    </row>
    <row r="144">
      <c r="C144" s="582"/>
    </row>
    <row r="145">
      <c r="C145" s="582"/>
    </row>
    <row r="146">
      <c r="C146" s="582"/>
    </row>
    <row r="147">
      <c r="C147" s="582"/>
    </row>
    <row r="148">
      <c r="C148" s="582"/>
    </row>
    <row r="149">
      <c r="C149" s="582"/>
    </row>
    <row r="150">
      <c r="C150" s="582"/>
    </row>
    <row r="151">
      <c r="C151" s="582"/>
    </row>
    <row r="152">
      <c r="C152" s="582"/>
    </row>
    <row r="153">
      <c r="C153" s="582"/>
    </row>
    <row r="154">
      <c r="C154" s="582"/>
    </row>
    <row r="155">
      <c r="C155" s="582"/>
    </row>
    <row r="156">
      <c r="C156" s="582"/>
    </row>
    <row r="157">
      <c r="C157" s="582"/>
    </row>
    <row r="158">
      <c r="C158" s="582"/>
    </row>
    <row r="159">
      <c r="C159" s="582"/>
    </row>
    <row r="160">
      <c r="C160" s="582"/>
    </row>
    <row r="161">
      <c r="C161" s="582"/>
    </row>
    <row r="162">
      <c r="C162" s="582"/>
    </row>
    <row r="163">
      <c r="C163" s="582"/>
    </row>
    <row r="164">
      <c r="C164" s="582"/>
    </row>
    <row r="165">
      <c r="C165" s="582"/>
    </row>
    <row r="166">
      <c r="C166" s="582"/>
    </row>
    <row r="167">
      <c r="C167" s="582"/>
    </row>
    <row r="168">
      <c r="C168" s="582"/>
    </row>
    <row r="169">
      <c r="C169" s="582"/>
    </row>
    <row r="170">
      <c r="C170" s="582"/>
    </row>
    <row r="171">
      <c r="C171" s="582"/>
    </row>
    <row r="172">
      <c r="C172" s="582"/>
    </row>
    <row r="173">
      <c r="C173" s="582"/>
    </row>
    <row r="174">
      <c r="C174" s="582"/>
    </row>
    <row r="175">
      <c r="C175" s="582"/>
    </row>
    <row r="176">
      <c r="C176" s="582"/>
    </row>
    <row r="177">
      <c r="C177" s="582"/>
    </row>
    <row r="178">
      <c r="C178" s="582"/>
    </row>
    <row r="179">
      <c r="C179" s="582"/>
    </row>
    <row r="180">
      <c r="C180" s="582"/>
    </row>
    <row r="181">
      <c r="C181" s="582"/>
    </row>
    <row r="182">
      <c r="C182" s="582"/>
    </row>
    <row r="183">
      <c r="C183" s="582"/>
    </row>
    <row r="184">
      <c r="C184" s="582"/>
    </row>
    <row r="185">
      <c r="C185" s="582"/>
    </row>
    <row r="186">
      <c r="C186" s="582"/>
    </row>
    <row r="187">
      <c r="C187" s="582"/>
    </row>
    <row r="188">
      <c r="C188" s="582"/>
    </row>
    <row r="189">
      <c r="C189" s="582"/>
    </row>
    <row r="190">
      <c r="C190" s="582"/>
    </row>
    <row r="191">
      <c r="C191" s="582"/>
    </row>
    <row r="192">
      <c r="C192" s="582"/>
    </row>
    <row r="193">
      <c r="C193" s="582"/>
    </row>
    <row r="194">
      <c r="C194" s="582"/>
    </row>
    <row r="195">
      <c r="C195" s="582"/>
    </row>
    <row r="196">
      <c r="C196" s="582"/>
    </row>
    <row r="197">
      <c r="C197" s="582"/>
    </row>
    <row r="198">
      <c r="C198" s="582"/>
    </row>
    <row r="199">
      <c r="C199" s="582"/>
    </row>
    <row r="200">
      <c r="C200" s="582"/>
    </row>
    <row r="201">
      <c r="C201" s="582"/>
    </row>
    <row r="202">
      <c r="C202" s="582"/>
    </row>
    <row r="203">
      <c r="C203" s="582"/>
    </row>
    <row r="204">
      <c r="C204" s="582"/>
    </row>
    <row r="205">
      <c r="C205" s="582"/>
    </row>
    <row r="206">
      <c r="C206" s="582"/>
    </row>
    <row r="207">
      <c r="C207" s="582"/>
    </row>
    <row r="208">
      <c r="C208" s="582"/>
    </row>
    <row r="209">
      <c r="C209" s="582"/>
    </row>
    <row r="210">
      <c r="C210" s="582"/>
    </row>
    <row r="211">
      <c r="C211" s="582"/>
    </row>
    <row r="212">
      <c r="C212" s="582"/>
    </row>
    <row r="213">
      <c r="C213" s="582"/>
    </row>
    <row r="214">
      <c r="C214" s="582"/>
    </row>
    <row r="215">
      <c r="C215" s="582"/>
    </row>
    <row r="216">
      <c r="C216" s="582"/>
    </row>
    <row r="217">
      <c r="C217" s="582"/>
    </row>
    <row r="218">
      <c r="C218" s="582"/>
    </row>
    <row r="219">
      <c r="C219" s="582"/>
    </row>
    <row r="220">
      <c r="C220" s="582"/>
    </row>
    <row r="221">
      <c r="C221" s="582"/>
    </row>
    <row r="222">
      <c r="C222" s="582"/>
    </row>
    <row r="223">
      <c r="C223" s="582"/>
    </row>
    <row r="224">
      <c r="C224" s="582"/>
    </row>
    <row r="225">
      <c r="C225" s="582"/>
    </row>
    <row r="226">
      <c r="C226" s="582"/>
    </row>
    <row r="227">
      <c r="C227" s="582"/>
    </row>
    <row r="228">
      <c r="C228" s="582"/>
    </row>
    <row r="229">
      <c r="C229" s="582"/>
    </row>
    <row r="230">
      <c r="C230" s="582"/>
    </row>
    <row r="231">
      <c r="C231" s="582"/>
    </row>
    <row r="232">
      <c r="C232" s="582"/>
    </row>
    <row r="233">
      <c r="C233" s="582"/>
    </row>
    <row r="234">
      <c r="C234" s="582"/>
    </row>
    <row r="235">
      <c r="C235" s="582"/>
    </row>
    <row r="236">
      <c r="C236" s="582"/>
    </row>
    <row r="237">
      <c r="C237" s="582"/>
    </row>
    <row r="238">
      <c r="C238" s="582"/>
    </row>
    <row r="239">
      <c r="C239" s="582"/>
    </row>
    <row r="240">
      <c r="C240" s="582"/>
    </row>
    <row r="241">
      <c r="C241" s="582"/>
    </row>
    <row r="242">
      <c r="C242" s="582"/>
    </row>
    <row r="243">
      <c r="C243" s="582"/>
    </row>
    <row r="244">
      <c r="C244" s="582"/>
    </row>
    <row r="245">
      <c r="C245" s="582"/>
    </row>
    <row r="246">
      <c r="C246" s="582"/>
    </row>
    <row r="247">
      <c r="C247" s="582"/>
    </row>
    <row r="248">
      <c r="C248" s="582"/>
    </row>
    <row r="249">
      <c r="C249" s="582"/>
    </row>
    <row r="250">
      <c r="C250" s="582"/>
    </row>
    <row r="251">
      <c r="C251" s="582"/>
    </row>
    <row r="252">
      <c r="C252" s="582"/>
    </row>
    <row r="253">
      <c r="C253" s="582"/>
    </row>
    <row r="254">
      <c r="C254" s="582"/>
    </row>
    <row r="255">
      <c r="C255" s="582"/>
    </row>
    <row r="256">
      <c r="C256" s="582"/>
    </row>
    <row r="257">
      <c r="C257" s="582"/>
    </row>
    <row r="258">
      <c r="C258" s="582"/>
    </row>
    <row r="259">
      <c r="C259" s="582"/>
    </row>
    <row r="260">
      <c r="C260" s="582"/>
    </row>
    <row r="261">
      <c r="C261" s="582"/>
    </row>
    <row r="262">
      <c r="C262" s="582"/>
    </row>
    <row r="263">
      <c r="C263" s="582"/>
    </row>
    <row r="264">
      <c r="C264" s="582"/>
    </row>
    <row r="265">
      <c r="C265" s="582"/>
    </row>
    <row r="266">
      <c r="C266" s="582"/>
    </row>
    <row r="267">
      <c r="C267" s="582"/>
    </row>
    <row r="268">
      <c r="C268" s="582"/>
    </row>
    <row r="269">
      <c r="C269" s="582"/>
    </row>
    <row r="270">
      <c r="C270" s="582"/>
    </row>
    <row r="271">
      <c r="C271" s="582"/>
    </row>
    <row r="272">
      <c r="C272" s="582"/>
    </row>
    <row r="273">
      <c r="C273" s="582"/>
    </row>
    <row r="274">
      <c r="C274" s="582"/>
    </row>
    <row r="275">
      <c r="C275" s="582"/>
    </row>
    <row r="276">
      <c r="C276" s="582"/>
    </row>
    <row r="277">
      <c r="C277" s="582"/>
    </row>
    <row r="278">
      <c r="C278" s="582"/>
    </row>
    <row r="279">
      <c r="C279" s="582"/>
    </row>
    <row r="280">
      <c r="C280" s="582"/>
    </row>
    <row r="281">
      <c r="C281" s="582"/>
    </row>
    <row r="282">
      <c r="C282" s="582"/>
    </row>
    <row r="283">
      <c r="C283" s="582"/>
    </row>
    <row r="284">
      <c r="C284" s="582"/>
    </row>
    <row r="285">
      <c r="C285" s="582"/>
    </row>
    <row r="286">
      <c r="C286" s="582"/>
    </row>
    <row r="287">
      <c r="C287" s="582"/>
    </row>
    <row r="288">
      <c r="C288" s="582"/>
    </row>
    <row r="289">
      <c r="C289" s="582"/>
    </row>
    <row r="290">
      <c r="C290" s="582"/>
    </row>
    <row r="291">
      <c r="C291" s="582"/>
    </row>
    <row r="292">
      <c r="C292" s="582"/>
    </row>
    <row r="293">
      <c r="C293" s="582"/>
    </row>
    <row r="294">
      <c r="C294" s="582"/>
    </row>
    <row r="295">
      <c r="C295" s="582"/>
    </row>
    <row r="296">
      <c r="C296" s="582"/>
    </row>
    <row r="297">
      <c r="C297" s="582"/>
    </row>
    <row r="298">
      <c r="C298" s="582"/>
    </row>
    <row r="299">
      <c r="C299" s="582"/>
    </row>
    <row r="300">
      <c r="C300" s="582"/>
    </row>
    <row r="301">
      <c r="C301" s="582"/>
    </row>
    <row r="302">
      <c r="C302" s="582"/>
    </row>
    <row r="303">
      <c r="C303" s="582"/>
    </row>
    <row r="304">
      <c r="C304" s="582"/>
    </row>
    <row r="305">
      <c r="C305" s="582"/>
    </row>
    <row r="306">
      <c r="C306" s="582"/>
    </row>
    <row r="307">
      <c r="C307" s="582"/>
    </row>
    <row r="308">
      <c r="C308" s="582"/>
    </row>
    <row r="309">
      <c r="C309" s="582"/>
    </row>
    <row r="310">
      <c r="C310" s="582"/>
    </row>
    <row r="311">
      <c r="C311" s="582"/>
    </row>
    <row r="312">
      <c r="C312" s="582"/>
    </row>
    <row r="313">
      <c r="C313" s="582"/>
    </row>
    <row r="314">
      <c r="C314" s="582"/>
    </row>
    <row r="315">
      <c r="C315" s="582"/>
    </row>
    <row r="316">
      <c r="C316" s="582"/>
    </row>
    <row r="317">
      <c r="C317" s="582"/>
    </row>
    <row r="318">
      <c r="C318" s="582"/>
    </row>
    <row r="319">
      <c r="C319" s="582"/>
    </row>
    <row r="320">
      <c r="C320" s="582"/>
    </row>
    <row r="321">
      <c r="C321" s="582"/>
    </row>
    <row r="322">
      <c r="C322" s="582"/>
    </row>
    <row r="323">
      <c r="C323" s="582"/>
    </row>
    <row r="324">
      <c r="C324" s="582"/>
    </row>
    <row r="325">
      <c r="C325" s="582"/>
    </row>
    <row r="326">
      <c r="C326" s="582"/>
    </row>
    <row r="327">
      <c r="C327" s="582"/>
    </row>
    <row r="328">
      <c r="C328" s="582"/>
    </row>
    <row r="329">
      <c r="C329" s="582"/>
    </row>
    <row r="330">
      <c r="C330" s="582"/>
    </row>
    <row r="331">
      <c r="C331" s="582"/>
    </row>
    <row r="332">
      <c r="C332" s="582"/>
    </row>
    <row r="333">
      <c r="C333" s="582"/>
    </row>
    <row r="334">
      <c r="C334" s="582"/>
    </row>
    <row r="335">
      <c r="C335" s="582"/>
    </row>
    <row r="336">
      <c r="C336" s="582"/>
    </row>
    <row r="337">
      <c r="C337" s="582"/>
    </row>
    <row r="338">
      <c r="C338" s="582"/>
    </row>
    <row r="339">
      <c r="C339" s="582"/>
    </row>
    <row r="340">
      <c r="C340" s="582"/>
    </row>
    <row r="341">
      <c r="C341" s="582"/>
    </row>
    <row r="342">
      <c r="C342" s="582"/>
    </row>
    <row r="343">
      <c r="C343" s="582"/>
    </row>
    <row r="344">
      <c r="C344" s="582"/>
    </row>
    <row r="345">
      <c r="C345" s="582"/>
    </row>
    <row r="346">
      <c r="C346" s="582"/>
    </row>
    <row r="347">
      <c r="C347" s="582"/>
    </row>
    <row r="348">
      <c r="C348" s="582"/>
    </row>
    <row r="349">
      <c r="C349" s="582"/>
    </row>
    <row r="350">
      <c r="C350" s="582"/>
    </row>
    <row r="351">
      <c r="C351" s="582"/>
    </row>
    <row r="352">
      <c r="C352" s="582"/>
    </row>
    <row r="353">
      <c r="C353" s="582"/>
    </row>
    <row r="354">
      <c r="C354" s="582"/>
    </row>
    <row r="355">
      <c r="C355" s="582"/>
    </row>
    <row r="356">
      <c r="C356" s="582"/>
    </row>
    <row r="357">
      <c r="C357" s="582"/>
    </row>
    <row r="358">
      <c r="C358" s="582"/>
    </row>
    <row r="359">
      <c r="C359" s="582"/>
    </row>
    <row r="360">
      <c r="C360" s="582"/>
    </row>
    <row r="361">
      <c r="C361" s="582"/>
    </row>
    <row r="362">
      <c r="C362" s="582"/>
    </row>
    <row r="363">
      <c r="C363" s="582"/>
    </row>
    <row r="364">
      <c r="C364" s="582"/>
    </row>
    <row r="365">
      <c r="C365" s="582"/>
    </row>
    <row r="366">
      <c r="C366" s="582"/>
    </row>
    <row r="367">
      <c r="C367" s="582"/>
    </row>
    <row r="368">
      <c r="C368" s="582"/>
    </row>
    <row r="369">
      <c r="C369" s="582"/>
    </row>
    <row r="370">
      <c r="C370" s="582"/>
    </row>
    <row r="371">
      <c r="C371" s="582"/>
    </row>
    <row r="372">
      <c r="C372" s="582"/>
    </row>
    <row r="373">
      <c r="C373" s="582"/>
    </row>
    <row r="374">
      <c r="C374" s="582"/>
    </row>
    <row r="375">
      <c r="C375" s="582"/>
    </row>
    <row r="376">
      <c r="C376" s="582"/>
    </row>
    <row r="377">
      <c r="C377" s="582"/>
    </row>
    <row r="378">
      <c r="C378" s="582"/>
    </row>
    <row r="379">
      <c r="C379" s="582"/>
    </row>
    <row r="380">
      <c r="C380" s="582"/>
    </row>
    <row r="381">
      <c r="C381" s="582"/>
    </row>
    <row r="382">
      <c r="C382" s="582"/>
    </row>
    <row r="383">
      <c r="C383" s="582"/>
    </row>
    <row r="384">
      <c r="C384" s="582"/>
    </row>
    <row r="385">
      <c r="C385" s="582"/>
    </row>
    <row r="386">
      <c r="C386" s="582"/>
    </row>
    <row r="387">
      <c r="C387" s="582"/>
    </row>
    <row r="388">
      <c r="C388" s="582"/>
    </row>
    <row r="389">
      <c r="C389" s="582"/>
    </row>
    <row r="390">
      <c r="C390" s="582"/>
    </row>
    <row r="391">
      <c r="C391" s="582"/>
    </row>
    <row r="392">
      <c r="C392" s="582"/>
    </row>
    <row r="393">
      <c r="C393" s="582"/>
    </row>
    <row r="394">
      <c r="C394" s="582"/>
    </row>
    <row r="395">
      <c r="C395" s="582"/>
    </row>
    <row r="396">
      <c r="C396" s="582"/>
    </row>
    <row r="397">
      <c r="C397" s="582"/>
    </row>
    <row r="398">
      <c r="C398" s="582"/>
    </row>
    <row r="399">
      <c r="C399" s="582"/>
    </row>
    <row r="400">
      <c r="C400" s="582"/>
    </row>
    <row r="401">
      <c r="C401" s="582"/>
    </row>
    <row r="402">
      <c r="C402" s="582"/>
    </row>
    <row r="403">
      <c r="C403" s="582"/>
    </row>
    <row r="404">
      <c r="C404" s="582"/>
    </row>
    <row r="405">
      <c r="C405" s="582"/>
    </row>
    <row r="406">
      <c r="C406" s="582"/>
    </row>
    <row r="407">
      <c r="C407" s="582"/>
    </row>
    <row r="408">
      <c r="C408" s="582"/>
    </row>
    <row r="409">
      <c r="C409" s="582"/>
    </row>
    <row r="410">
      <c r="C410" s="582"/>
    </row>
    <row r="411">
      <c r="C411" s="582"/>
    </row>
    <row r="412">
      <c r="C412" s="582"/>
    </row>
    <row r="413">
      <c r="C413" s="582"/>
    </row>
    <row r="414">
      <c r="C414" s="582"/>
    </row>
    <row r="415">
      <c r="C415" s="582"/>
    </row>
    <row r="416">
      <c r="C416" s="582"/>
    </row>
    <row r="417">
      <c r="C417" s="582"/>
    </row>
    <row r="418">
      <c r="C418" s="582"/>
    </row>
    <row r="419">
      <c r="C419" s="582"/>
    </row>
    <row r="420">
      <c r="C420" s="582"/>
    </row>
    <row r="421">
      <c r="C421" s="582"/>
    </row>
    <row r="422">
      <c r="C422" s="582"/>
    </row>
    <row r="423">
      <c r="C423" s="582"/>
    </row>
    <row r="424">
      <c r="C424" s="582"/>
    </row>
    <row r="425">
      <c r="C425" s="582"/>
    </row>
    <row r="426">
      <c r="C426" s="582"/>
    </row>
    <row r="427">
      <c r="C427" s="582"/>
    </row>
    <row r="428">
      <c r="C428" s="582"/>
    </row>
    <row r="429">
      <c r="C429" s="582"/>
    </row>
    <row r="430">
      <c r="C430" s="582"/>
    </row>
    <row r="431">
      <c r="C431" s="582"/>
    </row>
    <row r="432">
      <c r="C432" s="582"/>
    </row>
    <row r="433">
      <c r="C433" s="582"/>
    </row>
    <row r="434">
      <c r="C434" s="582"/>
    </row>
    <row r="435">
      <c r="C435" s="582"/>
    </row>
    <row r="436">
      <c r="C436" s="582"/>
    </row>
    <row r="437">
      <c r="C437" s="582"/>
    </row>
    <row r="438">
      <c r="C438" s="582"/>
    </row>
    <row r="439">
      <c r="C439" s="582"/>
    </row>
    <row r="440">
      <c r="C440" s="582"/>
    </row>
    <row r="441">
      <c r="C441" s="582"/>
    </row>
    <row r="442">
      <c r="C442" s="582"/>
    </row>
    <row r="443">
      <c r="C443" s="582"/>
    </row>
    <row r="444">
      <c r="C444" s="582"/>
    </row>
    <row r="445">
      <c r="C445" s="582"/>
    </row>
    <row r="446">
      <c r="C446" s="582"/>
    </row>
    <row r="447">
      <c r="C447" s="582"/>
    </row>
    <row r="448">
      <c r="C448" s="582"/>
    </row>
    <row r="449">
      <c r="C449" s="582"/>
    </row>
    <row r="450">
      <c r="C450" s="582"/>
    </row>
    <row r="451">
      <c r="C451" s="582"/>
    </row>
    <row r="452">
      <c r="C452" s="582"/>
    </row>
    <row r="453">
      <c r="C453" s="582"/>
    </row>
    <row r="454">
      <c r="C454" s="582"/>
    </row>
    <row r="455">
      <c r="C455" s="582"/>
    </row>
    <row r="456">
      <c r="C456" s="582"/>
    </row>
    <row r="457">
      <c r="C457" s="582"/>
    </row>
    <row r="458">
      <c r="C458" s="582"/>
    </row>
    <row r="459">
      <c r="C459" s="582"/>
    </row>
    <row r="460">
      <c r="C460" s="582"/>
    </row>
    <row r="461">
      <c r="C461" s="582"/>
    </row>
    <row r="462">
      <c r="C462" s="582"/>
    </row>
    <row r="463">
      <c r="C463" s="582"/>
    </row>
    <row r="464">
      <c r="C464" s="582"/>
    </row>
    <row r="465">
      <c r="C465" s="582"/>
    </row>
    <row r="466">
      <c r="C466" s="582"/>
    </row>
    <row r="467">
      <c r="C467" s="582"/>
    </row>
    <row r="468">
      <c r="C468" s="582"/>
    </row>
    <row r="469">
      <c r="C469" s="582"/>
    </row>
    <row r="470">
      <c r="C470" s="582"/>
    </row>
    <row r="471">
      <c r="C471" s="582"/>
    </row>
    <row r="472">
      <c r="C472" s="582"/>
    </row>
    <row r="473">
      <c r="C473" s="582"/>
    </row>
    <row r="474">
      <c r="C474" s="582"/>
    </row>
    <row r="475">
      <c r="C475" s="582"/>
    </row>
    <row r="476">
      <c r="C476" s="582"/>
    </row>
    <row r="477">
      <c r="C477" s="582"/>
    </row>
    <row r="478">
      <c r="C478" s="582"/>
    </row>
    <row r="479">
      <c r="C479" s="582"/>
    </row>
    <row r="480">
      <c r="C480" s="582"/>
    </row>
    <row r="481">
      <c r="C481" s="582"/>
    </row>
    <row r="482">
      <c r="C482" s="582"/>
    </row>
    <row r="483">
      <c r="C483" s="582"/>
    </row>
    <row r="484">
      <c r="C484" s="582"/>
    </row>
    <row r="485">
      <c r="C485" s="582"/>
    </row>
    <row r="486">
      <c r="C486" s="582"/>
    </row>
    <row r="487">
      <c r="C487" s="582"/>
    </row>
    <row r="488">
      <c r="C488" s="582"/>
    </row>
    <row r="489">
      <c r="C489" s="582"/>
    </row>
    <row r="490">
      <c r="C490" s="582"/>
    </row>
    <row r="491">
      <c r="C491" s="582"/>
    </row>
    <row r="492">
      <c r="C492" s="582"/>
    </row>
    <row r="493">
      <c r="C493" s="582"/>
    </row>
    <row r="494">
      <c r="C494" s="582"/>
    </row>
    <row r="495">
      <c r="C495" s="582"/>
    </row>
    <row r="496">
      <c r="C496" s="582"/>
    </row>
    <row r="497">
      <c r="C497" s="582"/>
    </row>
    <row r="498">
      <c r="C498" s="582"/>
    </row>
    <row r="499">
      <c r="C499" s="582"/>
    </row>
    <row r="500">
      <c r="C500" s="582"/>
    </row>
    <row r="501">
      <c r="C501" s="582"/>
    </row>
    <row r="502">
      <c r="C502" s="582"/>
    </row>
    <row r="503">
      <c r="C503" s="582"/>
    </row>
    <row r="504">
      <c r="C504" s="582"/>
    </row>
    <row r="505">
      <c r="C505" s="582"/>
    </row>
    <row r="506">
      <c r="C506" s="582"/>
    </row>
    <row r="507">
      <c r="C507" s="582"/>
    </row>
    <row r="508">
      <c r="C508" s="582"/>
    </row>
    <row r="509">
      <c r="C509" s="582"/>
    </row>
    <row r="510">
      <c r="C510" s="582"/>
    </row>
    <row r="511">
      <c r="C511" s="582"/>
    </row>
    <row r="512">
      <c r="C512" s="582"/>
    </row>
    <row r="513">
      <c r="C513" s="582"/>
    </row>
    <row r="514">
      <c r="C514" s="582"/>
    </row>
    <row r="515">
      <c r="C515" s="582"/>
    </row>
    <row r="516">
      <c r="C516" s="582"/>
    </row>
    <row r="517">
      <c r="C517" s="582"/>
    </row>
    <row r="518">
      <c r="C518" s="582"/>
    </row>
    <row r="519">
      <c r="C519" s="582"/>
    </row>
    <row r="520">
      <c r="C520" s="582"/>
    </row>
    <row r="521">
      <c r="C521" s="582"/>
    </row>
    <row r="522">
      <c r="C522" s="582"/>
    </row>
    <row r="523">
      <c r="C523" s="582"/>
    </row>
    <row r="524">
      <c r="C524" s="582"/>
    </row>
    <row r="525">
      <c r="C525" s="582"/>
    </row>
    <row r="526">
      <c r="C526" s="582"/>
    </row>
    <row r="527">
      <c r="C527" s="582"/>
    </row>
    <row r="528">
      <c r="C528" s="582"/>
    </row>
    <row r="529">
      <c r="C529" s="582"/>
    </row>
    <row r="530">
      <c r="C530" s="582"/>
    </row>
    <row r="531">
      <c r="C531" s="582"/>
    </row>
    <row r="532">
      <c r="C532" s="582"/>
    </row>
    <row r="533">
      <c r="C533" s="582"/>
    </row>
    <row r="534">
      <c r="C534" s="582"/>
    </row>
    <row r="535">
      <c r="C535" s="582"/>
    </row>
    <row r="536">
      <c r="C536" s="582"/>
    </row>
    <row r="537">
      <c r="C537" s="582"/>
    </row>
    <row r="538">
      <c r="C538" s="582"/>
    </row>
    <row r="539">
      <c r="C539" s="582"/>
    </row>
    <row r="540">
      <c r="C540" s="582"/>
    </row>
    <row r="541">
      <c r="C541" s="582"/>
    </row>
    <row r="542">
      <c r="C542" s="582"/>
    </row>
    <row r="543">
      <c r="C543" s="582"/>
    </row>
    <row r="544">
      <c r="C544" s="582"/>
    </row>
    <row r="545">
      <c r="C545" s="582"/>
    </row>
    <row r="546">
      <c r="C546" s="582"/>
    </row>
    <row r="547">
      <c r="C547" s="582"/>
    </row>
    <row r="548">
      <c r="C548" s="582"/>
    </row>
    <row r="549">
      <c r="C549" s="582"/>
    </row>
    <row r="550">
      <c r="C550" s="582"/>
    </row>
    <row r="551">
      <c r="C551" s="582"/>
    </row>
    <row r="552">
      <c r="C552" s="582"/>
    </row>
    <row r="553">
      <c r="C553" s="582"/>
    </row>
    <row r="554">
      <c r="C554" s="582"/>
    </row>
    <row r="555">
      <c r="C555" s="582"/>
    </row>
    <row r="556">
      <c r="C556" s="582"/>
    </row>
    <row r="557">
      <c r="C557" s="582"/>
    </row>
    <row r="558">
      <c r="C558" s="582"/>
    </row>
    <row r="559">
      <c r="C559" s="582"/>
    </row>
    <row r="560">
      <c r="C560" s="582"/>
    </row>
    <row r="561">
      <c r="C561" s="582"/>
    </row>
    <row r="562">
      <c r="C562" s="582"/>
    </row>
    <row r="563">
      <c r="C563" s="582"/>
    </row>
    <row r="564">
      <c r="C564" s="582"/>
    </row>
    <row r="565">
      <c r="C565" s="582"/>
    </row>
    <row r="566">
      <c r="C566" s="582"/>
    </row>
    <row r="567">
      <c r="C567" s="582"/>
    </row>
    <row r="568">
      <c r="C568" s="582"/>
    </row>
    <row r="569">
      <c r="C569" s="582"/>
    </row>
    <row r="570">
      <c r="C570" s="582"/>
    </row>
    <row r="571">
      <c r="C571" s="582"/>
    </row>
    <row r="572">
      <c r="C572" s="582"/>
    </row>
    <row r="573">
      <c r="C573" s="582"/>
    </row>
    <row r="574">
      <c r="C574" s="582"/>
    </row>
    <row r="575">
      <c r="C575" s="582"/>
    </row>
    <row r="576">
      <c r="C576" s="582"/>
    </row>
    <row r="577">
      <c r="C577" s="582"/>
    </row>
    <row r="578">
      <c r="C578" s="582"/>
    </row>
    <row r="579">
      <c r="C579" s="582"/>
    </row>
    <row r="580">
      <c r="C580" s="582"/>
    </row>
    <row r="581">
      <c r="C581" s="582"/>
    </row>
    <row r="582">
      <c r="C582" s="582"/>
    </row>
    <row r="583">
      <c r="C583" s="582"/>
    </row>
    <row r="584">
      <c r="C584" s="582"/>
    </row>
    <row r="585">
      <c r="C585" s="582"/>
    </row>
    <row r="586">
      <c r="C586" s="582"/>
    </row>
    <row r="587">
      <c r="C587" s="582"/>
    </row>
    <row r="588">
      <c r="C588" s="582"/>
    </row>
    <row r="589">
      <c r="C589" s="582"/>
    </row>
    <row r="590">
      <c r="C590" s="582"/>
    </row>
    <row r="591">
      <c r="C591" s="582"/>
    </row>
    <row r="592">
      <c r="C592" s="582"/>
    </row>
    <row r="593">
      <c r="C593" s="582"/>
    </row>
    <row r="594">
      <c r="C594" s="582"/>
    </row>
    <row r="595">
      <c r="C595" s="582"/>
    </row>
    <row r="596">
      <c r="C596" s="582"/>
    </row>
    <row r="597">
      <c r="C597" s="582"/>
    </row>
    <row r="598">
      <c r="C598" s="582"/>
    </row>
    <row r="599">
      <c r="C599" s="582"/>
    </row>
    <row r="600">
      <c r="C600" s="582"/>
    </row>
    <row r="601">
      <c r="C601" s="582"/>
    </row>
    <row r="602">
      <c r="C602" s="582"/>
    </row>
    <row r="603">
      <c r="C603" s="582"/>
    </row>
    <row r="604">
      <c r="C604" s="582"/>
    </row>
    <row r="605">
      <c r="C605" s="582"/>
    </row>
    <row r="606">
      <c r="C606" s="582"/>
    </row>
    <row r="607">
      <c r="C607" s="582"/>
    </row>
    <row r="608">
      <c r="C608" s="582"/>
    </row>
    <row r="609">
      <c r="C609" s="582"/>
    </row>
    <row r="610">
      <c r="C610" s="582"/>
    </row>
    <row r="611">
      <c r="C611" s="582"/>
    </row>
    <row r="612">
      <c r="C612" s="582"/>
    </row>
    <row r="613">
      <c r="C613" s="582"/>
    </row>
    <row r="614">
      <c r="C614" s="582"/>
    </row>
    <row r="615">
      <c r="C615" s="582"/>
    </row>
    <row r="616">
      <c r="C616" s="582"/>
    </row>
    <row r="617">
      <c r="C617" s="582"/>
    </row>
    <row r="618">
      <c r="C618" s="582"/>
    </row>
    <row r="619">
      <c r="C619" s="582"/>
    </row>
    <row r="620">
      <c r="C620" s="582"/>
    </row>
    <row r="621">
      <c r="C621" s="582"/>
    </row>
    <row r="622">
      <c r="C622" s="582"/>
    </row>
    <row r="623">
      <c r="C623" s="582"/>
    </row>
    <row r="624">
      <c r="C624" s="582"/>
    </row>
    <row r="625">
      <c r="C625" s="582"/>
    </row>
    <row r="626">
      <c r="C626" s="582"/>
    </row>
    <row r="627">
      <c r="C627" s="582"/>
    </row>
    <row r="628">
      <c r="C628" s="582"/>
    </row>
    <row r="629">
      <c r="C629" s="582"/>
    </row>
    <row r="630">
      <c r="C630" s="582"/>
    </row>
    <row r="631">
      <c r="C631" s="582"/>
    </row>
    <row r="632">
      <c r="C632" s="582"/>
    </row>
    <row r="633">
      <c r="C633" s="582"/>
    </row>
    <row r="634">
      <c r="C634" s="582"/>
    </row>
    <row r="635">
      <c r="C635" s="582"/>
    </row>
    <row r="636">
      <c r="C636" s="582"/>
    </row>
    <row r="637">
      <c r="C637" s="582"/>
    </row>
    <row r="638">
      <c r="C638" s="582"/>
    </row>
    <row r="639">
      <c r="C639" s="582"/>
    </row>
    <row r="640">
      <c r="C640" s="582"/>
    </row>
    <row r="641">
      <c r="C641" s="582"/>
    </row>
    <row r="642">
      <c r="C642" s="582"/>
    </row>
    <row r="643">
      <c r="C643" s="582"/>
    </row>
    <row r="644">
      <c r="C644" s="582"/>
    </row>
    <row r="645">
      <c r="C645" s="582"/>
    </row>
    <row r="646">
      <c r="C646" s="582"/>
    </row>
    <row r="647">
      <c r="C647" s="582"/>
    </row>
    <row r="648">
      <c r="C648" s="582"/>
    </row>
    <row r="649">
      <c r="C649" s="582"/>
    </row>
    <row r="650">
      <c r="C650" s="582"/>
    </row>
    <row r="651">
      <c r="C651" s="582"/>
    </row>
    <row r="652">
      <c r="C652" s="582"/>
    </row>
    <row r="653">
      <c r="C653" s="582"/>
    </row>
    <row r="654">
      <c r="C654" s="582"/>
    </row>
    <row r="655">
      <c r="C655" s="582"/>
    </row>
    <row r="656">
      <c r="C656" s="582"/>
    </row>
    <row r="657">
      <c r="C657" s="582"/>
    </row>
    <row r="658">
      <c r="C658" s="582"/>
    </row>
    <row r="659">
      <c r="C659" s="582"/>
    </row>
    <row r="660">
      <c r="C660" s="582"/>
    </row>
    <row r="661">
      <c r="C661" s="582"/>
    </row>
    <row r="662">
      <c r="C662" s="582"/>
    </row>
    <row r="663">
      <c r="C663" s="582"/>
    </row>
    <row r="664">
      <c r="C664" s="582"/>
    </row>
    <row r="665">
      <c r="C665" s="582"/>
    </row>
    <row r="666">
      <c r="C666" s="582"/>
    </row>
    <row r="667">
      <c r="C667" s="582"/>
    </row>
    <row r="668">
      <c r="C668" s="582"/>
    </row>
    <row r="669">
      <c r="C669" s="582"/>
    </row>
    <row r="670">
      <c r="C670" s="582"/>
    </row>
    <row r="671">
      <c r="C671" s="582"/>
    </row>
    <row r="672">
      <c r="C672" s="582"/>
    </row>
    <row r="673">
      <c r="C673" s="582"/>
    </row>
    <row r="674">
      <c r="C674" s="582"/>
    </row>
    <row r="675">
      <c r="C675" s="582"/>
    </row>
    <row r="676">
      <c r="C676" s="582"/>
    </row>
    <row r="677">
      <c r="C677" s="582"/>
    </row>
    <row r="678">
      <c r="C678" s="582"/>
    </row>
    <row r="679">
      <c r="C679" s="582"/>
    </row>
    <row r="680">
      <c r="C680" s="582"/>
    </row>
    <row r="681">
      <c r="C681" s="582"/>
    </row>
    <row r="682">
      <c r="C682" s="582"/>
    </row>
    <row r="683">
      <c r="C683" s="582"/>
    </row>
    <row r="684">
      <c r="C684" s="582"/>
    </row>
    <row r="685">
      <c r="C685" s="582"/>
    </row>
    <row r="686">
      <c r="C686" s="582"/>
    </row>
    <row r="687">
      <c r="C687" s="582"/>
    </row>
    <row r="688">
      <c r="C688" s="582"/>
    </row>
    <row r="689">
      <c r="C689" s="582"/>
    </row>
    <row r="690">
      <c r="C690" s="582"/>
    </row>
    <row r="691">
      <c r="C691" s="582"/>
    </row>
    <row r="692">
      <c r="C692" s="582"/>
    </row>
    <row r="693">
      <c r="C693" s="582"/>
    </row>
    <row r="694">
      <c r="C694" s="582"/>
    </row>
    <row r="695">
      <c r="C695" s="582"/>
    </row>
    <row r="696">
      <c r="C696" s="582"/>
    </row>
    <row r="697">
      <c r="C697" s="582"/>
    </row>
    <row r="698">
      <c r="C698" s="582"/>
    </row>
    <row r="699">
      <c r="C699" s="582"/>
    </row>
    <row r="700">
      <c r="C700" s="582"/>
    </row>
    <row r="701">
      <c r="C701" s="582"/>
    </row>
    <row r="702">
      <c r="C702" s="582"/>
    </row>
    <row r="703">
      <c r="C703" s="582"/>
    </row>
    <row r="704">
      <c r="C704" s="582"/>
    </row>
    <row r="705">
      <c r="C705" s="582"/>
    </row>
    <row r="706">
      <c r="C706" s="582"/>
    </row>
    <row r="707">
      <c r="C707" s="582"/>
    </row>
    <row r="708">
      <c r="C708" s="582"/>
    </row>
    <row r="709">
      <c r="C709" s="582"/>
    </row>
    <row r="710">
      <c r="C710" s="582"/>
    </row>
    <row r="711">
      <c r="C711" s="582"/>
    </row>
    <row r="712">
      <c r="C712" s="582"/>
    </row>
    <row r="713">
      <c r="C713" s="582"/>
    </row>
    <row r="714">
      <c r="C714" s="582"/>
    </row>
    <row r="715">
      <c r="C715" s="582"/>
    </row>
    <row r="716">
      <c r="C716" s="582"/>
    </row>
    <row r="717">
      <c r="C717" s="582"/>
    </row>
    <row r="718">
      <c r="C718" s="582"/>
    </row>
    <row r="719">
      <c r="C719" s="582"/>
    </row>
    <row r="720">
      <c r="C720" s="582"/>
    </row>
    <row r="721">
      <c r="C721" s="582"/>
    </row>
    <row r="722">
      <c r="C722" s="582"/>
    </row>
    <row r="723">
      <c r="C723" s="582"/>
    </row>
    <row r="724">
      <c r="C724" s="582"/>
    </row>
    <row r="725">
      <c r="C725" s="582"/>
    </row>
    <row r="726">
      <c r="C726" s="582"/>
    </row>
    <row r="727">
      <c r="C727" s="582"/>
    </row>
    <row r="728">
      <c r="C728" s="582"/>
    </row>
    <row r="729">
      <c r="C729" s="582"/>
    </row>
    <row r="730">
      <c r="C730" s="582"/>
    </row>
    <row r="731">
      <c r="C731" s="582"/>
    </row>
    <row r="732">
      <c r="C732" s="582"/>
    </row>
    <row r="733">
      <c r="C733" s="582"/>
    </row>
    <row r="734">
      <c r="C734" s="582"/>
    </row>
    <row r="735">
      <c r="C735" s="582"/>
    </row>
    <row r="736">
      <c r="C736" s="582"/>
    </row>
    <row r="737">
      <c r="C737" s="582"/>
    </row>
    <row r="738">
      <c r="C738" s="582"/>
    </row>
    <row r="739">
      <c r="C739" s="582"/>
    </row>
    <row r="740">
      <c r="C740" s="582"/>
    </row>
    <row r="741">
      <c r="C741" s="582"/>
    </row>
    <row r="742">
      <c r="C742" s="582"/>
    </row>
    <row r="743">
      <c r="C743" s="582"/>
    </row>
    <row r="744">
      <c r="C744" s="582"/>
    </row>
    <row r="745">
      <c r="C745" s="582"/>
    </row>
    <row r="746">
      <c r="C746" s="582"/>
    </row>
    <row r="747">
      <c r="C747" s="582"/>
    </row>
    <row r="748">
      <c r="C748" s="582"/>
    </row>
    <row r="749">
      <c r="C749" s="582"/>
    </row>
    <row r="750">
      <c r="C750" s="582"/>
    </row>
    <row r="751">
      <c r="C751" s="582"/>
    </row>
    <row r="752">
      <c r="C752" s="582"/>
    </row>
    <row r="753">
      <c r="C753" s="582"/>
    </row>
    <row r="754">
      <c r="C754" s="582"/>
    </row>
    <row r="755">
      <c r="C755" s="582"/>
    </row>
    <row r="756">
      <c r="C756" s="582"/>
    </row>
    <row r="757">
      <c r="C757" s="582"/>
    </row>
    <row r="758">
      <c r="C758" s="582"/>
    </row>
    <row r="759">
      <c r="C759" s="582"/>
    </row>
    <row r="760">
      <c r="C760" s="582"/>
    </row>
    <row r="761">
      <c r="C761" s="582"/>
    </row>
    <row r="762">
      <c r="C762" s="582"/>
    </row>
    <row r="763">
      <c r="C763" s="582"/>
    </row>
    <row r="764">
      <c r="C764" s="582"/>
    </row>
    <row r="765">
      <c r="C765" s="582"/>
    </row>
    <row r="766">
      <c r="C766" s="582"/>
    </row>
    <row r="767">
      <c r="C767" s="582"/>
    </row>
    <row r="768">
      <c r="C768" s="582"/>
    </row>
    <row r="769">
      <c r="C769" s="582"/>
    </row>
    <row r="770">
      <c r="C770" s="582"/>
    </row>
    <row r="771">
      <c r="C771" s="582"/>
    </row>
    <row r="772">
      <c r="C772" s="582"/>
    </row>
    <row r="773">
      <c r="C773" s="582"/>
    </row>
    <row r="774">
      <c r="C774" s="582"/>
    </row>
    <row r="775">
      <c r="C775" s="582"/>
    </row>
    <row r="776">
      <c r="C776" s="582"/>
    </row>
    <row r="777">
      <c r="C777" s="582"/>
    </row>
    <row r="778">
      <c r="C778" s="582"/>
    </row>
    <row r="779">
      <c r="C779" s="582"/>
    </row>
    <row r="780">
      <c r="C780" s="582"/>
    </row>
    <row r="781">
      <c r="C781" s="582"/>
    </row>
    <row r="782">
      <c r="C782" s="582"/>
    </row>
    <row r="783">
      <c r="C783" s="582"/>
    </row>
    <row r="784">
      <c r="C784" s="582"/>
    </row>
    <row r="785">
      <c r="C785" s="582"/>
    </row>
    <row r="786">
      <c r="C786" s="582"/>
    </row>
    <row r="787">
      <c r="C787" s="582"/>
    </row>
    <row r="788">
      <c r="C788" s="582"/>
    </row>
    <row r="789">
      <c r="C789" s="582"/>
    </row>
    <row r="790">
      <c r="C790" s="582"/>
    </row>
    <row r="791">
      <c r="C791" s="582"/>
    </row>
    <row r="792">
      <c r="C792" s="582"/>
    </row>
    <row r="793">
      <c r="C793" s="582"/>
    </row>
    <row r="794">
      <c r="C794" s="582"/>
    </row>
    <row r="795">
      <c r="C795" s="582"/>
    </row>
    <row r="796">
      <c r="C796" s="582"/>
    </row>
    <row r="797">
      <c r="C797" s="582"/>
    </row>
    <row r="798">
      <c r="C798" s="582"/>
    </row>
    <row r="799">
      <c r="C799" s="582"/>
    </row>
    <row r="800">
      <c r="C800" s="582"/>
    </row>
    <row r="801">
      <c r="C801" s="582"/>
    </row>
    <row r="802">
      <c r="C802" s="582"/>
    </row>
    <row r="803">
      <c r="C803" s="582"/>
    </row>
    <row r="804">
      <c r="C804" s="582"/>
    </row>
    <row r="805">
      <c r="C805" s="582"/>
    </row>
    <row r="806">
      <c r="C806" s="582"/>
    </row>
    <row r="807">
      <c r="C807" s="582"/>
    </row>
    <row r="808">
      <c r="C808" s="582"/>
    </row>
    <row r="809">
      <c r="C809" s="582"/>
    </row>
    <row r="810">
      <c r="C810" s="582"/>
    </row>
    <row r="811">
      <c r="C811" s="582"/>
    </row>
    <row r="812">
      <c r="C812" s="582"/>
    </row>
    <row r="813">
      <c r="C813" s="582"/>
    </row>
    <row r="814">
      <c r="C814" s="582"/>
    </row>
    <row r="815">
      <c r="C815" s="582"/>
    </row>
    <row r="816">
      <c r="C816" s="582"/>
    </row>
    <row r="817">
      <c r="C817" s="582"/>
    </row>
    <row r="818">
      <c r="C818" s="582"/>
    </row>
    <row r="819">
      <c r="C819" s="582"/>
    </row>
    <row r="820">
      <c r="C820" s="582"/>
    </row>
    <row r="821">
      <c r="C821" s="582"/>
    </row>
    <row r="822">
      <c r="C822" s="582"/>
    </row>
    <row r="823">
      <c r="C823" s="582"/>
    </row>
    <row r="824">
      <c r="C824" s="582"/>
    </row>
    <row r="825">
      <c r="C825" s="582"/>
    </row>
    <row r="826">
      <c r="C826" s="582"/>
    </row>
    <row r="827">
      <c r="C827" s="582"/>
    </row>
    <row r="828">
      <c r="C828" s="582"/>
    </row>
    <row r="829">
      <c r="C829" s="582"/>
    </row>
    <row r="830">
      <c r="C830" s="582"/>
    </row>
    <row r="831">
      <c r="C831" s="582"/>
    </row>
    <row r="832">
      <c r="C832" s="582"/>
    </row>
    <row r="833">
      <c r="C833" s="582"/>
    </row>
    <row r="834">
      <c r="C834" s="582"/>
    </row>
    <row r="835">
      <c r="C835" s="582"/>
    </row>
    <row r="836">
      <c r="C836" s="582"/>
    </row>
    <row r="837">
      <c r="C837" s="582"/>
    </row>
    <row r="838">
      <c r="C838" s="582"/>
    </row>
    <row r="839">
      <c r="C839" s="582"/>
    </row>
    <row r="840">
      <c r="C840" s="582"/>
    </row>
    <row r="841">
      <c r="C841" s="582"/>
    </row>
    <row r="842">
      <c r="C842" s="582"/>
    </row>
    <row r="843">
      <c r="C843" s="582"/>
    </row>
    <row r="844">
      <c r="C844" s="582"/>
    </row>
    <row r="845">
      <c r="C845" s="582"/>
    </row>
    <row r="846">
      <c r="C846" s="582"/>
    </row>
    <row r="847">
      <c r="C847" s="582"/>
    </row>
    <row r="848">
      <c r="C848" s="582"/>
    </row>
    <row r="849">
      <c r="C849" s="582"/>
    </row>
    <row r="850">
      <c r="C850" s="582"/>
    </row>
    <row r="851">
      <c r="C851" s="582"/>
    </row>
    <row r="852">
      <c r="C852" s="582"/>
    </row>
    <row r="853">
      <c r="C853" s="582"/>
    </row>
    <row r="854">
      <c r="C854" s="582"/>
    </row>
    <row r="855">
      <c r="C855" s="582"/>
    </row>
    <row r="856">
      <c r="C856" s="582"/>
    </row>
    <row r="857">
      <c r="C857" s="582"/>
    </row>
    <row r="858">
      <c r="C858" s="582"/>
    </row>
    <row r="859">
      <c r="C859" s="582"/>
    </row>
    <row r="860">
      <c r="C860" s="582"/>
    </row>
    <row r="861">
      <c r="C861" s="582"/>
    </row>
    <row r="862">
      <c r="C862" s="582"/>
    </row>
    <row r="863">
      <c r="C863" s="582"/>
    </row>
    <row r="864">
      <c r="C864" s="582"/>
    </row>
    <row r="865">
      <c r="C865" s="582"/>
    </row>
    <row r="866">
      <c r="C866" s="582"/>
    </row>
    <row r="867">
      <c r="C867" s="582"/>
    </row>
    <row r="868">
      <c r="C868" s="582"/>
    </row>
    <row r="869">
      <c r="C869" s="582"/>
    </row>
    <row r="870">
      <c r="C870" s="582"/>
    </row>
    <row r="871">
      <c r="C871" s="582"/>
    </row>
    <row r="872">
      <c r="C872" s="582"/>
    </row>
    <row r="873">
      <c r="C873" s="582"/>
    </row>
    <row r="874">
      <c r="C874" s="582"/>
    </row>
    <row r="875">
      <c r="C875" s="582"/>
    </row>
    <row r="876">
      <c r="C876" s="582"/>
    </row>
    <row r="877">
      <c r="C877" s="582"/>
    </row>
    <row r="878">
      <c r="C878" s="582"/>
    </row>
    <row r="879">
      <c r="C879" s="582"/>
    </row>
    <row r="880">
      <c r="C880" s="582"/>
    </row>
    <row r="881">
      <c r="C881" s="582"/>
    </row>
    <row r="882">
      <c r="C882" s="582"/>
    </row>
    <row r="883">
      <c r="C883" s="582"/>
    </row>
    <row r="884">
      <c r="C884" s="582"/>
    </row>
    <row r="885">
      <c r="C885" s="582"/>
    </row>
    <row r="886">
      <c r="C886" s="582"/>
    </row>
    <row r="887">
      <c r="C887" s="582"/>
    </row>
    <row r="888">
      <c r="C888" s="582"/>
    </row>
    <row r="889">
      <c r="C889" s="582"/>
    </row>
    <row r="890">
      <c r="C890" s="582"/>
    </row>
    <row r="891">
      <c r="C891" s="582"/>
    </row>
    <row r="892">
      <c r="C892" s="582"/>
    </row>
    <row r="893">
      <c r="C893" s="582"/>
    </row>
    <row r="894">
      <c r="C894" s="582"/>
    </row>
    <row r="895">
      <c r="C895" s="582"/>
    </row>
    <row r="896">
      <c r="C896" s="582"/>
    </row>
    <row r="897">
      <c r="C897" s="582"/>
    </row>
    <row r="898">
      <c r="C898" s="582"/>
    </row>
    <row r="899">
      <c r="C899" s="582"/>
    </row>
    <row r="900">
      <c r="C900" s="582"/>
    </row>
    <row r="901">
      <c r="C901" s="582"/>
    </row>
    <row r="902">
      <c r="C902" s="582"/>
    </row>
    <row r="903">
      <c r="C903" s="582"/>
    </row>
    <row r="904">
      <c r="C904" s="582"/>
    </row>
    <row r="905">
      <c r="C905" s="582"/>
    </row>
    <row r="906">
      <c r="C906" s="582"/>
    </row>
    <row r="907">
      <c r="C907" s="582"/>
    </row>
    <row r="908">
      <c r="C908" s="582"/>
    </row>
    <row r="909">
      <c r="C909" s="582"/>
    </row>
    <row r="910">
      <c r="C910" s="582"/>
    </row>
    <row r="911">
      <c r="C911" s="582"/>
    </row>
    <row r="912">
      <c r="C912" s="582"/>
    </row>
    <row r="913">
      <c r="C913" s="582"/>
    </row>
    <row r="914">
      <c r="C914" s="582"/>
    </row>
    <row r="915">
      <c r="C915" s="582"/>
    </row>
    <row r="916">
      <c r="C916" s="582"/>
    </row>
    <row r="917">
      <c r="C917" s="582"/>
    </row>
    <row r="918">
      <c r="C918" s="582"/>
    </row>
    <row r="919">
      <c r="C919" s="582"/>
    </row>
    <row r="920">
      <c r="C920" s="582"/>
    </row>
    <row r="921">
      <c r="C921" s="582"/>
    </row>
    <row r="922">
      <c r="C922" s="582"/>
    </row>
    <row r="923">
      <c r="C923" s="582"/>
    </row>
    <row r="924">
      <c r="C924" s="582"/>
    </row>
    <row r="925">
      <c r="C925" s="582"/>
    </row>
    <row r="926">
      <c r="C926" s="582"/>
    </row>
    <row r="927">
      <c r="C927" s="582"/>
    </row>
    <row r="928">
      <c r="C928" s="582"/>
    </row>
    <row r="929">
      <c r="C929" s="582"/>
    </row>
    <row r="930">
      <c r="C930" s="582"/>
    </row>
    <row r="931">
      <c r="C931" s="582"/>
    </row>
    <row r="932">
      <c r="C932" s="582"/>
    </row>
    <row r="933">
      <c r="C933" s="582"/>
    </row>
    <row r="934">
      <c r="C934" s="582"/>
    </row>
    <row r="935">
      <c r="C935" s="582"/>
    </row>
    <row r="936">
      <c r="C936" s="582"/>
    </row>
    <row r="937">
      <c r="C937" s="582"/>
    </row>
    <row r="938">
      <c r="C938" s="582"/>
    </row>
    <row r="939">
      <c r="C939" s="582"/>
    </row>
    <row r="940">
      <c r="C940" s="582"/>
    </row>
    <row r="941">
      <c r="C941" s="582"/>
    </row>
    <row r="942">
      <c r="C942" s="582"/>
    </row>
    <row r="943">
      <c r="C943" s="582"/>
    </row>
    <row r="944">
      <c r="C944" s="582"/>
    </row>
    <row r="945">
      <c r="C945" s="582"/>
    </row>
    <row r="946">
      <c r="C946" s="582"/>
    </row>
    <row r="947">
      <c r="C947" s="582"/>
    </row>
    <row r="948">
      <c r="C948" s="582"/>
    </row>
    <row r="949">
      <c r="C949" s="582"/>
    </row>
    <row r="950">
      <c r="C950" s="582"/>
    </row>
    <row r="951">
      <c r="C951" s="582"/>
    </row>
    <row r="952">
      <c r="C952" s="582"/>
    </row>
    <row r="953">
      <c r="C953" s="582"/>
    </row>
    <row r="954">
      <c r="C954" s="582"/>
    </row>
    <row r="955">
      <c r="C955" s="582"/>
    </row>
    <row r="956">
      <c r="C956" s="582"/>
    </row>
    <row r="957">
      <c r="C957" s="582"/>
    </row>
    <row r="958">
      <c r="C958" s="582"/>
    </row>
    <row r="959">
      <c r="C959" s="582"/>
    </row>
    <row r="960">
      <c r="C960" s="582"/>
    </row>
    <row r="961">
      <c r="C961" s="582"/>
    </row>
    <row r="962">
      <c r="C962" s="582"/>
    </row>
    <row r="963">
      <c r="C963" s="582"/>
    </row>
    <row r="964">
      <c r="C964" s="582"/>
    </row>
    <row r="965">
      <c r="C965" s="582"/>
    </row>
    <row r="966">
      <c r="C966" s="582"/>
    </row>
    <row r="967">
      <c r="C967" s="582"/>
    </row>
    <row r="968">
      <c r="C968" s="582"/>
    </row>
    <row r="969">
      <c r="C969" s="582"/>
    </row>
    <row r="970">
      <c r="C970" s="582"/>
    </row>
  </sheetData>
  <mergeCells count="10">
    <mergeCell ref="A41:F41"/>
    <mergeCell ref="A42:F42"/>
    <mergeCell ref="A44:D44"/>
    <mergeCell ref="A1:F1"/>
    <mergeCell ref="A2:F2"/>
    <mergeCell ref="A4:D4"/>
    <mergeCell ref="A25:B25"/>
    <mergeCell ref="A26:F26"/>
    <mergeCell ref="A27:F27"/>
    <mergeCell ref="A29:D29"/>
  </mergeCells>
  <printOptions gridLines="1" horizontalCentered="1"/>
  <pageMargins bottom="0.75" footer="0.0" header="0.0" left="0.7" right="0.7" top="0.75"/>
  <pageSetup paperSize="9" scale="85" cellComments="atEnd" orientation="landscape" pageOrder="overThenDown"/>
  <drawing r:id="rId1"/>
  <tableParts count="3">
    <tablePart r:id="rId5"/>
    <tablePart r:id="rId6"/>
    <tablePart r:id="rId7"/>
  </tableParts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31.0"/>
    <col customWidth="1" min="2" max="2" width="11.63"/>
    <col customWidth="1" min="3" max="3" width="11.75"/>
    <col customWidth="1" min="4" max="4" width="11.63"/>
    <col customWidth="1" min="5" max="5" width="14.88"/>
    <col customWidth="1" min="6" max="6" width="58.25"/>
    <col customWidth="1" min="8" max="8" width="13.0"/>
  </cols>
  <sheetData>
    <row r="1">
      <c r="A1" s="203" t="s">
        <v>3</v>
      </c>
      <c r="F1" s="15"/>
      <c r="H1" s="501" t="s">
        <v>173</v>
      </c>
    </row>
    <row r="2">
      <c r="A2" s="225" t="s">
        <v>198</v>
      </c>
      <c r="B2" s="211"/>
      <c r="C2" s="211"/>
      <c r="D2" s="211"/>
      <c r="E2" s="211"/>
      <c r="F2" s="91"/>
      <c r="H2" s="502">
        <f>C23+C38+C48</f>
        <v>17387.5</v>
      </c>
    </row>
    <row r="3">
      <c r="A3" s="503">
        <v>32.5</v>
      </c>
      <c r="B3" s="228">
        <v>21.0</v>
      </c>
      <c r="C3" s="229" t="s">
        <v>477</v>
      </c>
      <c r="D3" s="230"/>
      <c r="E3" s="230"/>
      <c r="F3" s="110"/>
    </row>
    <row r="4">
      <c r="A4" s="232" t="s">
        <v>514</v>
      </c>
      <c r="B4" s="211"/>
      <c r="C4" s="211"/>
      <c r="D4" s="91"/>
      <c r="E4" s="504" t="s">
        <v>515</v>
      </c>
      <c r="F4" s="505" t="s">
        <v>24</v>
      </c>
    </row>
    <row r="5" ht="24.75" customHeight="1">
      <c r="A5" s="264" t="s">
        <v>176</v>
      </c>
      <c r="B5" s="265" t="s">
        <v>26</v>
      </c>
      <c r="C5" s="265" t="s">
        <v>119</v>
      </c>
      <c r="D5" s="235" t="s">
        <v>220</v>
      </c>
      <c r="E5" s="278" t="s">
        <v>253</v>
      </c>
      <c r="F5" s="336" t="s">
        <v>479</v>
      </c>
      <c r="G5" s="506"/>
      <c r="H5" s="506"/>
      <c r="I5" s="506"/>
      <c r="J5" s="506"/>
      <c r="K5" s="506"/>
      <c r="L5" s="506"/>
      <c r="M5" s="506"/>
      <c r="N5" s="506"/>
      <c r="O5" s="506"/>
      <c r="P5" s="506"/>
      <c r="Q5" s="506"/>
      <c r="R5" s="506"/>
      <c r="S5" s="506"/>
      <c r="T5" s="506"/>
      <c r="U5" s="506"/>
      <c r="V5" s="506"/>
      <c r="W5" s="506"/>
      <c r="X5" s="506"/>
      <c r="Y5" s="506"/>
      <c r="Z5" s="506"/>
    </row>
    <row r="6">
      <c r="A6" s="566" t="s">
        <v>33</v>
      </c>
      <c r="B6" s="567" t="s">
        <v>34</v>
      </c>
      <c r="C6" s="568">
        <f>$A$3*10</f>
        <v>325</v>
      </c>
      <c r="D6" s="569" t="s">
        <v>244</v>
      </c>
      <c r="E6" s="570" t="s">
        <v>481</v>
      </c>
      <c r="F6" s="571" t="s">
        <v>516</v>
      </c>
      <c r="G6" s="463"/>
      <c r="H6" s="463"/>
      <c r="I6" s="513"/>
    </row>
    <row r="7">
      <c r="A7" s="514" t="s">
        <v>35</v>
      </c>
      <c r="B7" s="508" t="s">
        <v>36</v>
      </c>
      <c r="C7" s="509">
        <f t="shared" ref="C7:C22" si="1">$A$3*$B$3</f>
        <v>682.5</v>
      </c>
      <c r="D7" s="510" t="s">
        <v>244</v>
      </c>
      <c r="E7" s="511" t="s">
        <v>481</v>
      </c>
      <c r="F7" s="512"/>
      <c r="G7" s="455"/>
      <c r="H7" s="455"/>
      <c r="I7" s="515"/>
      <c r="J7" s="170"/>
      <c r="K7" s="170"/>
      <c r="L7" s="170"/>
      <c r="M7" s="170"/>
      <c r="N7" s="170"/>
      <c r="O7" s="170"/>
      <c r="P7" s="170"/>
      <c r="Q7" s="170"/>
      <c r="R7" s="170"/>
      <c r="S7" s="170"/>
      <c r="T7" s="170"/>
      <c r="U7" s="170"/>
      <c r="V7" s="170"/>
      <c r="W7" s="170"/>
      <c r="X7" s="170"/>
      <c r="Y7" s="170"/>
      <c r="Z7" s="170"/>
    </row>
    <row r="8">
      <c r="A8" s="516" t="s">
        <v>482</v>
      </c>
      <c r="B8" s="517" t="s">
        <v>483</v>
      </c>
      <c r="C8" s="509">
        <f t="shared" si="1"/>
        <v>682.5</v>
      </c>
      <c r="D8" s="510" t="s">
        <v>244</v>
      </c>
      <c r="E8" s="511" t="s">
        <v>481</v>
      </c>
      <c r="F8" s="512"/>
      <c r="G8" s="463"/>
      <c r="H8" s="463"/>
      <c r="I8" s="513"/>
    </row>
    <row r="9">
      <c r="A9" s="516" t="s">
        <v>100</v>
      </c>
      <c r="B9" s="517" t="s">
        <v>446</v>
      </c>
      <c r="C9" s="509">
        <f t="shared" si="1"/>
        <v>682.5</v>
      </c>
      <c r="D9" s="510" t="s">
        <v>244</v>
      </c>
      <c r="E9" s="511" t="s">
        <v>481</v>
      </c>
      <c r="F9" s="512"/>
      <c r="G9" s="463"/>
      <c r="H9" s="463"/>
      <c r="I9" s="513"/>
    </row>
    <row r="10">
      <c r="A10" s="516" t="s">
        <v>471</v>
      </c>
      <c r="B10" s="517" t="s">
        <v>423</v>
      </c>
      <c r="C10" s="509">
        <f t="shared" si="1"/>
        <v>682.5</v>
      </c>
      <c r="D10" s="510" t="s">
        <v>244</v>
      </c>
      <c r="E10" s="511" t="s">
        <v>481</v>
      </c>
      <c r="F10" s="512"/>
      <c r="G10" s="463"/>
      <c r="H10" s="463"/>
      <c r="I10" s="513"/>
    </row>
    <row r="11">
      <c r="A11" s="518" t="s">
        <v>234</v>
      </c>
      <c r="B11" s="519" t="s">
        <v>235</v>
      </c>
      <c r="C11" s="509">
        <f t="shared" si="1"/>
        <v>682.5</v>
      </c>
      <c r="D11" s="520" t="s">
        <v>244</v>
      </c>
      <c r="E11" s="511" t="s">
        <v>481</v>
      </c>
      <c r="F11" s="512"/>
      <c r="G11" s="463"/>
      <c r="H11" s="463"/>
      <c r="I11" s="513"/>
    </row>
    <row r="12">
      <c r="A12" s="521" t="s">
        <v>485</v>
      </c>
      <c r="B12" s="522" t="s">
        <v>486</v>
      </c>
      <c r="C12" s="509">
        <f t="shared" si="1"/>
        <v>682.5</v>
      </c>
      <c r="D12" s="520" t="s">
        <v>244</v>
      </c>
      <c r="E12" s="511" t="s">
        <v>481</v>
      </c>
      <c r="F12" s="523"/>
      <c r="G12" s="524"/>
      <c r="H12" s="524"/>
      <c r="I12" s="525"/>
      <c r="J12" s="526"/>
      <c r="K12" s="526"/>
      <c r="L12" s="526"/>
      <c r="M12" s="526"/>
      <c r="N12" s="526"/>
      <c r="O12" s="526"/>
      <c r="P12" s="526"/>
      <c r="Q12" s="526"/>
      <c r="R12" s="526"/>
      <c r="S12" s="526"/>
      <c r="T12" s="526"/>
      <c r="U12" s="526"/>
      <c r="V12" s="526"/>
      <c r="W12" s="526"/>
      <c r="X12" s="526"/>
      <c r="Y12" s="526"/>
      <c r="Z12" s="526"/>
    </row>
    <row r="13">
      <c r="A13" s="516" t="s">
        <v>488</v>
      </c>
      <c r="B13" s="490" t="s">
        <v>426</v>
      </c>
      <c r="C13" s="509">
        <f t="shared" si="1"/>
        <v>682.5</v>
      </c>
      <c r="D13" s="510" t="s">
        <v>244</v>
      </c>
      <c r="E13" s="511" t="s">
        <v>481</v>
      </c>
      <c r="F13" s="527"/>
      <c r="G13" s="451"/>
      <c r="H13" s="451"/>
      <c r="I13" s="513"/>
    </row>
    <row r="14">
      <c r="A14" s="528" t="s">
        <v>147</v>
      </c>
      <c r="B14" s="529" t="s">
        <v>148</v>
      </c>
      <c r="C14" s="509">
        <f t="shared" si="1"/>
        <v>682.5</v>
      </c>
      <c r="D14" s="510" t="s">
        <v>244</v>
      </c>
      <c r="E14" s="511" t="s">
        <v>481</v>
      </c>
      <c r="F14" s="523"/>
      <c r="G14" s="463"/>
      <c r="H14" s="463"/>
      <c r="I14" s="513"/>
    </row>
    <row r="15">
      <c r="A15" s="514" t="s">
        <v>61</v>
      </c>
      <c r="B15" s="508" t="s">
        <v>62</v>
      </c>
      <c r="C15" s="509">
        <f t="shared" si="1"/>
        <v>682.5</v>
      </c>
      <c r="D15" s="510" t="s">
        <v>244</v>
      </c>
      <c r="E15" s="511" t="s">
        <v>481</v>
      </c>
      <c r="F15" s="512"/>
      <c r="G15" s="455"/>
      <c r="H15" s="492"/>
      <c r="I15" s="515"/>
      <c r="J15" s="170"/>
      <c r="K15" s="170"/>
      <c r="L15" s="170"/>
      <c r="M15" s="170"/>
      <c r="N15" s="170"/>
      <c r="O15" s="170"/>
      <c r="P15" s="170"/>
      <c r="Q15" s="170"/>
      <c r="R15" s="170"/>
      <c r="S15" s="170"/>
      <c r="T15" s="170"/>
      <c r="U15" s="170"/>
      <c r="V15" s="170"/>
      <c r="W15" s="170"/>
      <c r="X15" s="170"/>
      <c r="Y15" s="170"/>
      <c r="Z15" s="170"/>
    </row>
    <row r="16">
      <c r="A16" s="518" t="s">
        <v>315</v>
      </c>
      <c r="B16" s="517" t="s">
        <v>325</v>
      </c>
      <c r="C16" s="509">
        <f t="shared" si="1"/>
        <v>682.5</v>
      </c>
      <c r="D16" s="510" t="s">
        <v>244</v>
      </c>
      <c r="E16" s="511" t="s">
        <v>481</v>
      </c>
      <c r="F16" s="523"/>
      <c r="G16" s="583"/>
      <c r="H16" s="451"/>
      <c r="I16" s="513"/>
    </row>
    <row r="17">
      <c r="A17" s="516" t="s">
        <v>430</v>
      </c>
      <c r="B17" s="517" t="s">
        <v>431</v>
      </c>
      <c r="C17" s="509">
        <f t="shared" si="1"/>
        <v>682.5</v>
      </c>
      <c r="D17" s="510" t="s">
        <v>244</v>
      </c>
      <c r="E17" s="511" t="s">
        <v>481</v>
      </c>
      <c r="F17" s="478"/>
      <c r="G17" s="451"/>
      <c r="H17" s="451"/>
      <c r="I17" s="513"/>
    </row>
    <row r="18">
      <c r="A18" s="516" t="s">
        <v>475</v>
      </c>
      <c r="B18" s="490" t="s">
        <v>454</v>
      </c>
      <c r="C18" s="509">
        <f t="shared" si="1"/>
        <v>682.5</v>
      </c>
      <c r="D18" s="510" t="s">
        <v>244</v>
      </c>
      <c r="E18" s="511" t="s">
        <v>481</v>
      </c>
      <c r="F18" s="478"/>
      <c r="G18" s="451"/>
      <c r="H18" s="451"/>
      <c r="I18" s="513"/>
    </row>
    <row r="19">
      <c r="A19" s="518" t="s">
        <v>171</v>
      </c>
      <c r="B19" s="517" t="s">
        <v>224</v>
      </c>
      <c r="C19" s="509">
        <f t="shared" si="1"/>
        <v>682.5</v>
      </c>
      <c r="D19" s="510" t="s">
        <v>244</v>
      </c>
      <c r="E19" s="511" t="s">
        <v>481</v>
      </c>
      <c r="F19" s="523"/>
      <c r="G19" s="451"/>
      <c r="H19" s="451"/>
      <c r="I19" s="513"/>
    </row>
    <row r="20">
      <c r="A20" s="516" t="s">
        <v>476</v>
      </c>
      <c r="B20" s="517" t="s">
        <v>201</v>
      </c>
      <c r="C20" s="509">
        <f t="shared" si="1"/>
        <v>682.5</v>
      </c>
      <c r="D20" s="510" t="s">
        <v>244</v>
      </c>
      <c r="E20" s="511" t="s">
        <v>481</v>
      </c>
      <c r="F20" s="512"/>
      <c r="G20" s="463"/>
      <c r="H20" s="463"/>
      <c r="I20" s="513"/>
    </row>
    <row r="21">
      <c r="A21" s="516" t="s">
        <v>455</v>
      </c>
      <c r="B21" s="490" t="s">
        <v>456</v>
      </c>
      <c r="C21" s="509">
        <f t="shared" si="1"/>
        <v>682.5</v>
      </c>
      <c r="D21" s="510" t="s">
        <v>244</v>
      </c>
      <c r="E21" s="511" t="s">
        <v>481</v>
      </c>
      <c r="F21" s="523"/>
      <c r="G21" s="451"/>
      <c r="H21" s="451"/>
      <c r="I21" s="513"/>
    </row>
    <row r="22">
      <c r="A22" s="531" t="s">
        <v>77</v>
      </c>
      <c r="B22" s="532" t="s">
        <v>78</v>
      </c>
      <c r="C22" s="509">
        <f t="shared" si="1"/>
        <v>682.5</v>
      </c>
      <c r="D22" s="534" t="s">
        <v>244</v>
      </c>
      <c r="E22" s="535" t="s">
        <v>481</v>
      </c>
      <c r="F22" s="536"/>
      <c r="G22" s="451"/>
      <c r="H22" s="451"/>
      <c r="I22" s="513"/>
    </row>
    <row r="23">
      <c r="A23" s="324" t="s">
        <v>288</v>
      </c>
      <c r="B23" s="325"/>
      <c r="C23" s="561">
        <f>SUM(C6:C22)</f>
        <v>11245</v>
      </c>
      <c r="D23" s="321"/>
      <c r="E23" s="321"/>
      <c r="F23" s="327"/>
      <c r="G23" s="513"/>
      <c r="H23" s="513"/>
      <c r="I23" s="513"/>
    </row>
    <row r="24">
      <c r="A24" s="538"/>
      <c r="B24" s="539"/>
      <c r="C24" s="564"/>
      <c r="D24" s="541"/>
      <c r="E24" s="541"/>
      <c r="F24" s="542"/>
      <c r="G24" s="287"/>
    </row>
    <row r="25">
      <c r="A25" s="543"/>
      <c r="B25" s="544"/>
      <c r="C25" s="565"/>
      <c r="D25" s="546"/>
      <c r="E25" s="546"/>
      <c r="F25" s="546"/>
      <c r="G25" s="170"/>
      <c r="H25" s="170"/>
      <c r="I25" s="170"/>
      <c r="J25" s="170"/>
      <c r="K25" s="170"/>
      <c r="L25" s="170"/>
      <c r="M25" s="170"/>
      <c r="N25" s="170"/>
      <c r="O25" s="170"/>
      <c r="P25" s="170"/>
      <c r="Q25" s="170"/>
      <c r="R25" s="170"/>
      <c r="S25" s="170"/>
      <c r="T25" s="170"/>
      <c r="U25" s="170"/>
      <c r="V25" s="170"/>
      <c r="W25" s="170"/>
      <c r="X25" s="170"/>
      <c r="Y25" s="170"/>
      <c r="Z25" s="170"/>
    </row>
    <row r="26">
      <c r="A26" s="547" t="s">
        <v>3</v>
      </c>
      <c r="B26" s="211"/>
      <c r="C26" s="211"/>
      <c r="D26" s="211"/>
      <c r="E26" s="211"/>
      <c r="F26" s="91"/>
      <c r="G26" s="170"/>
      <c r="H26" s="170"/>
      <c r="I26" s="170"/>
      <c r="J26" s="170"/>
      <c r="K26" s="170"/>
      <c r="L26" s="170"/>
      <c r="M26" s="170"/>
      <c r="N26" s="170"/>
      <c r="O26" s="170"/>
      <c r="P26" s="170"/>
      <c r="Q26" s="170"/>
      <c r="R26" s="170"/>
      <c r="S26" s="170"/>
      <c r="T26" s="170"/>
      <c r="U26" s="170"/>
      <c r="V26" s="170"/>
      <c r="W26" s="170"/>
      <c r="X26" s="170"/>
      <c r="Y26" s="170"/>
      <c r="Z26" s="170"/>
    </row>
    <row r="27">
      <c r="A27" s="225" t="s">
        <v>188</v>
      </c>
      <c r="B27" s="211"/>
      <c r="C27" s="211"/>
      <c r="D27" s="211"/>
      <c r="E27" s="211"/>
      <c r="F27" s="91"/>
      <c r="G27" s="170"/>
      <c r="H27" s="170"/>
      <c r="I27" s="170"/>
      <c r="J27" s="170"/>
      <c r="K27" s="170"/>
      <c r="L27" s="170"/>
      <c r="M27" s="170"/>
      <c r="N27" s="170"/>
      <c r="O27" s="170"/>
      <c r="P27" s="170"/>
      <c r="Q27" s="170"/>
      <c r="R27" s="170"/>
      <c r="S27" s="170"/>
      <c r="T27" s="170"/>
      <c r="U27" s="170"/>
      <c r="V27" s="170"/>
      <c r="W27" s="170"/>
      <c r="X27" s="170"/>
      <c r="Y27" s="170"/>
      <c r="Z27" s="170"/>
    </row>
    <row r="28">
      <c r="A28" s="548">
        <v>32.5</v>
      </c>
      <c r="B28" s="549">
        <v>21.0</v>
      </c>
      <c r="C28" s="550" t="s">
        <v>477</v>
      </c>
      <c r="D28" s="551" t="s">
        <v>117</v>
      </c>
      <c r="E28" s="551"/>
      <c r="F28" s="552"/>
      <c r="G28" s="170"/>
      <c r="H28" s="170"/>
      <c r="I28" s="170"/>
      <c r="J28" s="170"/>
      <c r="K28" s="170"/>
      <c r="L28" s="170"/>
      <c r="M28" s="170"/>
      <c r="N28" s="170"/>
      <c r="O28" s="170"/>
      <c r="P28" s="170"/>
      <c r="Q28" s="170"/>
      <c r="R28" s="170"/>
      <c r="S28" s="170"/>
      <c r="T28" s="170"/>
      <c r="U28" s="170"/>
      <c r="V28" s="170"/>
      <c r="W28" s="170"/>
      <c r="X28" s="170"/>
      <c r="Y28" s="170"/>
      <c r="Z28" s="170"/>
    </row>
    <row r="29">
      <c r="A29" s="232" t="s">
        <v>514</v>
      </c>
      <c r="B29" s="211"/>
      <c r="C29" s="211"/>
      <c r="D29" s="91"/>
      <c r="E29" s="504" t="s">
        <v>515</v>
      </c>
      <c r="F29" s="554" t="s">
        <v>24</v>
      </c>
      <c r="G29" s="170"/>
      <c r="H29" s="170"/>
      <c r="I29" s="170"/>
      <c r="J29" s="170"/>
      <c r="K29" s="170"/>
      <c r="L29" s="170"/>
      <c r="M29" s="170"/>
      <c r="N29" s="170"/>
      <c r="O29" s="170"/>
      <c r="P29" s="170"/>
      <c r="Q29" s="170"/>
      <c r="R29" s="170"/>
      <c r="S29" s="170"/>
      <c r="T29" s="170"/>
      <c r="U29" s="170"/>
      <c r="V29" s="170"/>
      <c r="W29" s="170"/>
      <c r="X29" s="170"/>
      <c r="Y29" s="170"/>
      <c r="Z29" s="170"/>
    </row>
    <row r="30">
      <c r="A30" s="264" t="s">
        <v>176</v>
      </c>
      <c r="B30" s="265" t="s">
        <v>26</v>
      </c>
      <c r="C30" s="265" t="s">
        <v>119</v>
      </c>
      <c r="D30" s="235" t="s">
        <v>220</v>
      </c>
      <c r="E30" s="278" t="s">
        <v>253</v>
      </c>
      <c r="F30" s="336" t="s">
        <v>479</v>
      </c>
      <c r="G30" s="555"/>
      <c r="H30" s="555"/>
      <c r="I30" s="555"/>
      <c r="J30" s="555"/>
      <c r="K30" s="555"/>
      <c r="L30" s="555"/>
      <c r="M30" s="555"/>
      <c r="N30" s="555"/>
      <c r="O30" s="555"/>
      <c r="P30" s="555"/>
      <c r="Q30" s="555"/>
      <c r="R30" s="555"/>
      <c r="S30" s="555"/>
      <c r="T30" s="555"/>
      <c r="U30" s="555"/>
      <c r="V30" s="555"/>
      <c r="W30" s="555"/>
      <c r="X30" s="555"/>
      <c r="Y30" s="555"/>
      <c r="Z30" s="555"/>
    </row>
    <row r="31">
      <c r="A31" s="386" t="s">
        <v>480</v>
      </c>
      <c r="B31" s="387" t="s">
        <v>239</v>
      </c>
      <c r="C31" s="509">
        <f t="shared" ref="C31:C37" si="2">$A$28*$B$3</f>
        <v>682.5</v>
      </c>
      <c r="D31" s="389" t="s">
        <v>244</v>
      </c>
      <c r="E31" s="390" t="s">
        <v>494</v>
      </c>
      <c r="F31" s="572"/>
      <c r="G31" s="584"/>
      <c r="H31" s="574"/>
      <c r="I31" s="575"/>
      <c r="J31" s="576"/>
      <c r="K31" s="578"/>
      <c r="L31" s="170"/>
      <c r="M31" s="170"/>
      <c r="N31" s="170"/>
      <c r="O31" s="170"/>
      <c r="P31" s="170"/>
      <c r="Q31" s="170"/>
      <c r="R31" s="170"/>
      <c r="S31" s="170"/>
      <c r="T31" s="170"/>
      <c r="U31" s="170"/>
      <c r="V31" s="170"/>
      <c r="W31" s="170"/>
      <c r="X31" s="170"/>
      <c r="Y31" s="170"/>
      <c r="Z31" s="170"/>
    </row>
    <row r="32">
      <c r="A32" s="392" t="s">
        <v>363</v>
      </c>
      <c r="B32" s="387" t="s">
        <v>364</v>
      </c>
      <c r="C32" s="509">
        <f t="shared" si="2"/>
        <v>682.5</v>
      </c>
      <c r="D32" s="389" t="s">
        <v>244</v>
      </c>
      <c r="E32" s="390" t="s">
        <v>494</v>
      </c>
      <c r="F32" s="450"/>
      <c r="G32" s="575"/>
      <c r="H32" s="576"/>
      <c r="I32" s="575"/>
      <c r="J32" s="575"/>
      <c r="K32" s="575"/>
    </row>
    <row r="33">
      <c r="A33" s="392" t="s">
        <v>484</v>
      </c>
      <c r="B33" s="393" t="s">
        <v>250</v>
      </c>
      <c r="C33" s="509">
        <f t="shared" si="2"/>
        <v>682.5</v>
      </c>
      <c r="D33" s="396" t="s">
        <v>244</v>
      </c>
      <c r="E33" s="390" t="s">
        <v>494</v>
      </c>
      <c r="F33" s="478"/>
      <c r="G33" s="578"/>
      <c r="H33" s="578"/>
      <c r="I33" s="578"/>
      <c r="J33" s="578"/>
      <c r="K33" s="578"/>
    </row>
    <row r="34">
      <c r="A34" s="400" t="s">
        <v>80</v>
      </c>
      <c r="B34" s="402" t="s">
        <v>81</v>
      </c>
      <c r="C34" s="509">
        <f t="shared" si="2"/>
        <v>682.5</v>
      </c>
      <c r="D34" s="396" t="s">
        <v>244</v>
      </c>
      <c r="E34" s="390" t="s">
        <v>494</v>
      </c>
      <c r="F34" s="480"/>
      <c r="G34" s="579"/>
      <c r="H34" s="579"/>
      <c r="I34" s="579"/>
      <c r="J34" s="579"/>
      <c r="K34" s="579"/>
    </row>
    <row r="35">
      <c r="A35" s="400" t="s">
        <v>59</v>
      </c>
      <c r="B35" s="402" t="s">
        <v>60</v>
      </c>
      <c r="C35" s="509">
        <f t="shared" si="2"/>
        <v>682.5</v>
      </c>
      <c r="D35" s="396" t="s">
        <v>244</v>
      </c>
      <c r="E35" s="390" t="s">
        <v>494</v>
      </c>
      <c r="F35" s="405"/>
      <c r="G35" s="578"/>
      <c r="H35" s="578"/>
      <c r="I35" s="578"/>
      <c r="J35" s="578"/>
      <c r="K35" s="578"/>
    </row>
    <row r="36">
      <c r="A36" s="386" t="s">
        <v>487</v>
      </c>
      <c r="B36" s="389" t="s">
        <v>395</v>
      </c>
      <c r="C36" s="509">
        <f t="shared" si="2"/>
        <v>682.5</v>
      </c>
      <c r="D36" s="396" t="s">
        <v>244</v>
      </c>
      <c r="E36" s="390" t="s">
        <v>494</v>
      </c>
      <c r="F36" s="450"/>
      <c r="G36" s="575"/>
      <c r="H36" s="575"/>
      <c r="I36" s="575"/>
      <c r="J36" s="575"/>
      <c r="K36" s="575"/>
    </row>
    <row r="37">
      <c r="A37" s="406" t="s">
        <v>134</v>
      </c>
      <c r="B37" s="389" t="s">
        <v>135</v>
      </c>
      <c r="C37" s="509">
        <f t="shared" si="2"/>
        <v>682.5</v>
      </c>
      <c r="D37" s="389" t="s">
        <v>244</v>
      </c>
      <c r="E37" s="390" t="s">
        <v>494</v>
      </c>
      <c r="F37" s="478"/>
      <c r="G37" s="578"/>
      <c r="H37" s="578"/>
      <c r="I37" s="578"/>
      <c r="J37" s="578"/>
      <c r="K37" s="578"/>
    </row>
    <row r="38">
      <c r="A38" s="290" t="s">
        <v>288</v>
      </c>
      <c r="B38" s="290"/>
      <c r="C38" s="561">
        <f>SUM(C31:C37)</f>
        <v>4777.5</v>
      </c>
      <c r="D38" s="218"/>
      <c r="E38" s="218"/>
      <c r="F38" s="218"/>
    </row>
    <row r="39">
      <c r="A39" s="557"/>
      <c r="B39" s="557"/>
      <c r="C39" s="580"/>
      <c r="D39" s="557"/>
      <c r="E39" s="557"/>
      <c r="F39" s="557"/>
    </row>
    <row r="40">
      <c r="A40" s="558"/>
      <c r="B40" s="558"/>
      <c r="C40" s="581"/>
      <c r="D40" s="558"/>
      <c r="E40" s="558"/>
      <c r="F40" s="558"/>
    </row>
    <row r="41">
      <c r="A41" s="547" t="s">
        <v>3</v>
      </c>
      <c r="B41" s="211"/>
      <c r="C41" s="211"/>
      <c r="D41" s="211"/>
      <c r="E41" s="211"/>
      <c r="F41" s="91"/>
    </row>
    <row r="42">
      <c r="A42" s="225" t="s">
        <v>460</v>
      </c>
      <c r="B42" s="211"/>
      <c r="C42" s="211"/>
      <c r="D42" s="211"/>
      <c r="E42" s="211"/>
      <c r="F42" s="91"/>
    </row>
    <row r="43">
      <c r="A43" s="548">
        <v>32.5</v>
      </c>
      <c r="B43" s="549">
        <v>21.0</v>
      </c>
      <c r="C43" s="229" t="s">
        <v>477</v>
      </c>
      <c r="D43" s="551" t="s">
        <v>117</v>
      </c>
      <c r="E43" s="551"/>
      <c r="F43" s="552"/>
    </row>
    <row r="44">
      <c r="A44" s="232" t="s">
        <v>514</v>
      </c>
      <c r="B44" s="211"/>
      <c r="C44" s="211"/>
      <c r="D44" s="91"/>
      <c r="E44" s="504" t="s">
        <v>515</v>
      </c>
      <c r="F44" s="554" t="s">
        <v>24</v>
      </c>
    </row>
    <row r="45">
      <c r="A45" s="264" t="s">
        <v>176</v>
      </c>
      <c r="B45" s="264" t="s">
        <v>26</v>
      </c>
      <c r="C45" s="264" t="s">
        <v>119</v>
      </c>
      <c r="D45" s="559" t="s">
        <v>220</v>
      </c>
      <c r="E45" s="559" t="s">
        <v>253</v>
      </c>
      <c r="F45" s="560" t="s">
        <v>479</v>
      </c>
    </row>
    <row r="46">
      <c r="A46" s="392" t="s">
        <v>492</v>
      </c>
      <c r="B46" s="387" t="s">
        <v>500</v>
      </c>
      <c r="C46" s="562">
        <f t="shared" ref="C46:C47" si="3">$A$43*$B$3</f>
        <v>682.5</v>
      </c>
      <c r="D46" s="389" t="s">
        <v>244</v>
      </c>
      <c r="E46" s="389" t="s">
        <v>466</v>
      </c>
      <c r="F46" s="563"/>
    </row>
    <row r="47">
      <c r="A47" s="392" t="s">
        <v>517</v>
      </c>
      <c r="B47" s="387" t="s">
        <v>518</v>
      </c>
      <c r="C47" s="562">
        <f t="shared" si="3"/>
        <v>682.5</v>
      </c>
      <c r="D47" s="389" t="s">
        <v>244</v>
      </c>
      <c r="E47" s="389" t="s">
        <v>466</v>
      </c>
      <c r="F47" s="585"/>
    </row>
    <row r="48">
      <c r="A48" s="290" t="s">
        <v>288</v>
      </c>
      <c r="B48" s="290"/>
      <c r="C48" s="561">
        <f>SUM(C46:C47)</f>
        <v>1365</v>
      </c>
      <c r="D48" s="218"/>
      <c r="E48" s="218"/>
      <c r="F48" s="218"/>
    </row>
    <row r="49">
      <c r="C49" s="582"/>
    </row>
    <row r="50">
      <c r="C50" s="582"/>
    </row>
    <row r="51">
      <c r="C51" s="582"/>
    </row>
    <row r="52">
      <c r="C52" s="582"/>
    </row>
    <row r="53">
      <c r="C53" s="582"/>
    </row>
    <row r="54">
      <c r="C54" s="582"/>
    </row>
    <row r="55">
      <c r="C55" s="582"/>
    </row>
    <row r="56">
      <c r="C56" s="582"/>
    </row>
    <row r="57">
      <c r="C57" s="582"/>
    </row>
    <row r="58">
      <c r="C58" s="582"/>
    </row>
    <row r="59">
      <c r="C59" s="582"/>
    </row>
    <row r="60">
      <c r="C60" s="582"/>
    </row>
    <row r="61">
      <c r="C61" s="582"/>
    </row>
    <row r="62">
      <c r="C62" s="582"/>
    </row>
    <row r="63">
      <c r="C63" s="582"/>
    </row>
    <row r="64">
      <c r="C64" s="582"/>
    </row>
    <row r="65">
      <c r="C65" s="582"/>
    </row>
    <row r="66">
      <c r="C66" s="582"/>
    </row>
    <row r="67">
      <c r="C67" s="582"/>
    </row>
    <row r="68">
      <c r="C68" s="582"/>
    </row>
    <row r="69">
      <c r="C69" s="582"/>
    </row>
    <row r="70">
      <c r="C70" s="582"/>
    </row>
    <row r="71">
      <c r="C71" s="582"/>
    </row>
    <row r="72">
      <c r="C72" s="582"/>
    </row>
    <row r="73">
      <c r="C73" s="582"/>
    </row>
    <row r="74">
      <c r="C74" s="582"/>
    </row>
    <row r="75">
      <c r="C75" s="582"/>
    </row>
    <row r="76">
      <c r="C76" s="582"/>
    </row>
    <row r="77">
      <c r="C77" s="582"/>
    </row>
    <row r="78">
      <c r="C78" s="582"/>
    </row>
    <row r="79">
      <c r="C79" s="582"/>
    </row>
    <row r="80">
      <c r="C80" s="582"/>
    </row>
    <row r="81">
      <c r="C81" s="582"/>
    </row>
    <row r="82">
      <c r="C82" s="582"/>
    </row>
    <row r="83">
      <c r="C83" s="582"/>
    </row>
    <row r="84">
      <c r="C84" s="582"/>
    </row>
    <row r="85">
      <c r="C85" s="582"/>
    </row>
    <row r="86">
      <c r="C86" s="582"/>
    </row>
    <row r="87">
      <c r="C87" s="582"/>
    </row>
    <row r="88">
      <c r="C88" s="582"/>
    </row>
    <row r="89">
      <c r="C89" s="582"/>
    </row>
    <row r="90">
      <c r="C90" s="582"/>
    </row>
    <row r="91">
      <c r="C91" s="582"/>
    </row>
    <row r="92">
      <c r="C92" s="582"/>
    </row>
    <row r="93">
      <c r="C93" s="582"/>
    </row>
    <row r="94">
      <c r="C94" s="582"/>
    </row>
    <row r="95">
      <c r="C95" s="582"/>
    </row>
    <row r="96">
      <c r="C96" s="582"/>
    </row>
    <row r="97">
      <c r="C97" s="582"/>
    </row>
    <row r="98">
      <c r="C98" s="582"/>
    </row>
    <row r="99">
      <c r="C99" s="582"/>
    </row>
    <row r="100">
      <c r="C100" s="582"/>
    </row>
    <row r="101">
      <c r="C101" s="582"/>
    </row>
    <row r="102">
      <c r="C102" s="582"/>
    </row>
    <row r="103">
      <c r="C103" s="582"/>
    </row>
    <row r="104">
      <c r="C104" s="582"/>
    </row>
    <row r="105">
      <c r="C105" s="582"/>
    </row>
    <row r="106">
      <c r="C106" s="582"/>
    </row>
    <row r="107">
      <c r="C107" s="582"/>
    </row>
    <row r="108">
      <c r="C108" s="582"/>
    </row>
    <row r="109">
      <c r="C109" s="582"/>
    </row>
    <row r="110">
      <c r="C110" s="582"/>
    </row>
    <row r="111">
      <c r="C111" s="582"/>
    </row>
    <row r="112">
      <c r="C112" s="582"/>
    </row>
    <row r="113">
      <c r="C113" s="582"/>
    </row>
    <row r="114">
      <c r="C114" s="582"/>
    </row>
    <row r="115">
      <c r="C115" s="582"/>
    </row>
    <row r="116">
      <c r="C116" s="582"/>
    </row>
    <row r="117">
      <c r="C117" s="582"/>
    </row>
    <row r="118">
      <c r="C118" s="582"/>
    </row>
    <row r="119">
      <c r="C119" s="582"/>
    </row>
    <row r="120">
      <c r="C120" s="582"/>
    </row>
    <row r="121">
      <c r="C121" s="582"/>
    </row>
    <row r="122">
      <c r="C122" s="582"/>
    </row>
    <row r="123">
      <c r="C123" s="582"/>
    </row>
    <row r="124">
      <c r="C124" s="582"/>
    </row>
    <row r="125">
      <c r="C125" s="582"/>
    </row>
    <row r="126">
      <c r="C126" s="582"/>
    </row>
    <row r="127">
      <c r="C127" s="582"/>
    </row>
    <row r="128">
      <c r="C128" s="582"/>
    </row>
    <row r="129">
      <c r="C129" s="582"/>
    </row>
    <row r="130">
      <c r="C130" s="582"/>
    </row>
    <row r="131">
      <c r="C131" s="582"/>
    </row>
    <row r="132">
      <c r="C132" s="582"/>
    </row>
    <row r="133">
      <c r="C133" s="582"/>
    </row>
    <row r="134">
      <c r="C134" s="582"/>
    </row>
    <row r="135">
      <c r="C135" s="582"/>
    </row>
    <row r="136">
      <c r="C136" s="582"/>
    </row>
    <row r="137">
      <c r="C137" s="582"/>
    </row>
    <row r="138">
      <c r="C138" s="582"/>
    </row>
    <row r="139">
      <c r="C139" s="582"/>
    </row>
    <row r="140">
      <c r="C140" s="582"/>
    </row>
    <row r="141">
      <c r="C141" s="582"/>
    </row>
    <row r="142">
      <c r="C142" s="582"/>
    </row>
    <row r="143">
      <c r="C143" s="582"/>
    </row>
    <row r="144">
      <c r="C144" s="582"/>
    </row>
    <row r="145">
      <c r="C145" s="582"/>
    </row>
    <row r="146">
      <c r="C146" s="582"/>
    </row>
    <row r="147">
      <c r="C147" s="582"/>
    </row>
    <row r="148">
      <c r="C148" s="582"/>
    </row>
    <row r="149">
      <c r="C149" s="582"/>
    </row>
    <row r="150">
      <c r="C150" s="582"/>
    </row>
    <row r="151">
      <c r="C151" s="582"/>
    </row>
    <row r="152">
      <c r="C152" s="582"/>
    </row>
    <row r="153">
      <c r="C153" s="582"/>
    </row>
    <row r="154">
      <c r="C154" s="582"/>
    </row>
    <row r="155">
      <c r="C155" s="582"/>
    </row>
    <row r="156">
      <c r="C156" s="582"/>
    </row>
    <row r="157">
      <c r="C157" s="582"/>
    </row>
    <row r="158">
      <c r="C158" s="582"/>
    </row>
    <row r="159">
      <c r="C159" s="582"/>
    </row>
    <row r="160">
      <c r="C160" s="582"/>
    </row>
    <row r="161">
      <c r="C161" s="582"/>
    </row>
    <row r="162">
      <c r="C162" s="582"/>
    </row>
    <row r="163">
      <c r="C163" s="582"/>
    </row>
    <row r="164">
      <c r="C164" s="582"/>
    </row>
    <row r="165">
      <c r="C165" s="582"/>
    </row>
    <row r="166">
      <c r="C166" s="582"/>
    </row>
    <row r="167">
      <c r="C167" s="582"/>
    </row>
    <row r="168">
      <c r="C168" s="582"/>
    </row>
    <row r="169">
      <c r="C169" s="582"/>
    </row>
    <row r="170">
      <c r="C170" s="582"/>
    </row>
    <row r="171">
      <c r="C171" s="582"/>
    </row>
    <row r="172">
      <c r="C172" s="582"/>
    </row>
    <row r="173">
      <c r="C173" s="582"/>
    </row>
    <row r="174">
      <c r="C174" s="582"/>
    </row>
    <row r="175">
      <c r="C175" s="582"/>
    </row>
    <row r="176">
      <c r="C176" s="582"/>
    </row>
    <row r="177">
      <c r="C177" s="582"/>
    </row>
    <row r="178">
      <c r="C178" s="582"/>
    </row>
    <row r="179">
      <c r="C179" s="582"/>
    </row>
    <row r="180">
      <c r="C180" s="582"/>
    </row>
    <row r="181">
      <c r="C181" s="582"/>
    </row>
    <row r="182">
      <c r="C182" s="582"/>
    </row>
    <row r="183">
      <c r="C183" s="582"/>
    </row>
    <row r="184">
      <c r="C184" s="582"/>
    </row>
    <row r="185">
      <c r="C185" s="582"/>
    </row>
    <row r="186">
      <c r="C186" s="582"/>
    </row>
    <row r="187">
      <c r="C187" s="582"/>
    </row>
    <row r="188">
      <c r="C188" s="582"/>
    </row>
    <row r="189">
      <c r="C189" s="582"/>
    </row>
    <row r="190">
      <c r="C190" s="582"/>
    </row>
    <row r="191">
      <c r="C191" s="582"/>
    </row>
    <row r="192">
      <c r="C192" s="582"/>
    </row>
    <row r="193">
      <c r="C193" s="582"/>
    </row>
    <row r="194">
      <c r="C194" s="582"/>
    </row>
    <row r="195">
      <c r="C195" s="582"/>
    </row>
    <row r="196">
      <c r="C196" s="582"/>
    </row>
    <row r="197">
      <c r="C197" s="582"/>
    </row>
    <row r="198">
      <c r="C198" s="582"/>
    </row>
    <row r="199">
      <c r="C199" s="582"/>
    </row>
    <row r="200">
      <c r="C200" s="582"/>
    </row>
    <row r="201">
      <c r="C201" s="582"/>
    </row>
    <row r="202">
      <c r="C202" s="582"/>
    </row>
    <row r="203">
      <c r="C203" s="582"/>
    </row>
    <row r="204">
      <c r="C204" s="582"/>
    </row>
    <row r="205">
      <c r="C205" s="582"/>
    </row>
    <row r="206">
      <c r="C206" s="582"/>
    </row>
    <row r="207">
      <c r="C207" s="582"/>
    </row>
    <row r="208">
      <c r="C208" s="582"/>
    </row>
    <row r="209">
      <c r="C209" s="582"/>
    </row>
    <row r="210">
      <c r="C210" s="582"/>
    </row>
    <row r="211">
      <c r="C211" s="582"/>
    </row>
    <row r="212">
      <c r="C212" s="582"/>
    </row>
    <row r="213">
      <c r="C213" s="582"/>
    </row>
    <row r="214">
      <c r="C214" s="582"/>
    </row>
    <row r="215">
      <c r="C215" s="582"/>
    </row>
    <row r="216">
      <c r="C216" s="582"/>
    </row>
    <row r="217">
      <c r="C217" s="582"/>
    </row>
    <row r="218">
      <c r="C218" s="582"/>
    </row>
    <row r="219">
      <c r="C219" s="582"/>
    </row>
    <row r="220">
      <c r="C220" s="582"/>
    </row>
    <row r="221">
      <c r="C221" s="582"/>
    </row>
    <row r="222">
      <c r="C222" s="582"/>
    </row>
    <row r="223">
      <c r="C223" s="582"/>
    </row>
    <row r="224">
      <c r="C224" s="582"/>
    </row>
    <row r="225">
      <c r="C225" s="582"/>
    </row>
    <row r="226">
      <c r="C226" s="582"/>
    </row>
    <row r="227">
      <c r="C227" s="582"/>
    </row>
    <row r="228">
      <c r="C228" s="582"/>
    </row>
    <row r="229">
      <c r="C229" s="582"/>
    </row>
    <row r="230">
      <c r="C230" s="582"/>
    </row>
    <row r="231">
      <c r="C231" s="582"/>
    </row>
    <row r="232">
      <c r="C232" s="582"/>
    </row>
    <row r="233">
      <c r="C233" s="582"/>
    </row>
    <row r="234">
      <c r="C234" s="582"/>
    </row>
    <row r="235">
      <c r="C235" s="582"/>
    </row>
    <row r="236">
      <c r="C236" s="582"/>
    </row>
    <row r="237">
      <c r="C237" s="582"/>
    </row>
    <row r="238">
      <c r="C238" s="582"/>
    </row>
    <row r="239">
      <c r="C239" s="582"/>
    </row>
    <row r="240">
      <c r="C240" s="582"/>
    </row>
    <row r="241">
      <c r="C241" s="582"/>
    </row>
    <row r="242">
      <c r="C242" s="582"/>
    </row>
    <row r="243">
      <c r="C243" s="582"/>
    </row>
    <row r="244">
      <c r="C244" s="582"/>
    </row>
    <row r="245">
      <c r="C245" s="582"/>
    </row>
    <row r="246">
      <c r="C246" s="582"/>
    </row>
    <row r="247">
      <c r="C247" s="582"/>
    </row>
    <row r="248">
      <c r="C248" s="582"/>
    </row>
    <row r="249">
      <c r="C249" s="582"/>
    </row>
    <row r="250">
      <c r="C250" s="582"/>
    </row>
    <row r="251">
      <c r="C251" s="582"/>
    </row>
    <row r="252">
      <c r="C252" s="582"/>
    </row>
    <row r="253">
      <c r="C253" s="582"/>
    </row>
    <row r="254">
      <c r="C254" s="582"/>
    </row>
    <row r="255">
      <c r="C255" s="582"/>
    </row>
    <row r="256">
      <c r="C256" s="582"/>
    </row>
    <row r="257">
      <c r="C257" s="582"/>
    </row>
    <row r="258">
      <c r="C258" s="582"/>
    </row>
    <row r="259">
      <c r="C259" s="582"/>
    </row>
    <row r="260">
      <c r="C260" s="582"/>
    </row>
    <row r="261">
      <c r="C261" s="582"/>
    </row>
    <row r="262">
      <c r="C262" s="582"/>
    </row>
    <row r="263">
      <c r="C263" s="582"/>
    </row>
    <row r="264">
      <c r="C264" s="582"/>
    </row>
    <row r="265">
      <c r="C265" s="582"/>
    </row>
    <row r="266">
      <c r="C266" s="582"/>
    </row>
    <row r="267">
      <c r="C267" s="582"/>
    </row>
    <row r="268">
      <c r="C268" s="582"/>
    </row>
    <row r="269">
      <c r="C269" s="582"/>
    </row>
    <row r="270">
      <c r="C270" s="582"/>
    </row>
    <row r="271">
      <c r="C271" s="582"/>
    </row>
    <row r="272">
      <c r="C272" s="582"/>
    </row>
    <row r="273">
      <c r="C273" s="582"/>
    </row>
    <row r="274">
      <c r="C274" s="582"/>
    </row>
    <row r="275">
      <c r="C275" s="582"/>
    </row>
    <row r="276">
      <c r="C276" s="582"/>
    </row>
    <row r="277">
      <c r="C277" s="582"/>
    </row>
    <row r="278">
      <c r="C278" s="582"/>
    </row>
    <row r="279">
      <c r="C279" s="582"/>
    </row>
    <row r="280">
      <c r="C280" s="582"/>
    </row>
    <row r="281">
      <c r="C281" s="582"/>
    </row>
    <row r="282">
      <c r="C282" s="582"/>
    </row>
    <row r="283">
      <c r="C283" s="582"/>
    </row>
    <row r="284">
      <c r="C284" s="582"/>
    </row>
    <row r="285">
      <c r="C285" s="582"/>
    </row>
    <row r="286">
      <c r="C286" s="582"/>
    </row>
    <row r="287">
      <c r="C287" s="582"/>
    </row>
    <row r="288">
      <c r="C288" s="582"/>
    </row>
    <row r="289">
      <c r="C289" s="582"/>
    </row>
    <row r="290">
      <c r="C290" s="582"/>
    </row>
    <row r="291">
      <c r="C291" s="582"/>
    </row>
    <row r="292">
      <c r="C292" s="582"/>
    </row>
    <row r="293">
      <c r="C293" s="582"/>
    </row>
    <row r="294">
      <c r="C294" s="582"/>
    </row>
    <row r="295">
      <c r="C295" s="582"/>
    </row>
    <row r="296">
      <c r="C296" s="582"/>
    </row>
    <row r="297">
      <c r="C297" s="582"/>
    </row>
    <row r="298">
      <c r="C298" s="582"/>
    </row>
    <row r="299">
      <c r="C299" s="582"/>
    </row>
    <row r="300">
      <c r="C300" s="582"/>
    </row>
    <row r="301">
      <c r="C301" s="582"/>
    </row>
    <row r="302">
      <c r="C302" s="582"/>
    </row>
    <row r="303">
      <c r="C303" s="582"/>
    </row>
    <row r="304">
      <c r="C304" s="582"/>
    </row>
    <row r="305">
      <c r="C305" s="582"/>
    </row>
    <row r="306">
      <c r="C306" s="582"/>
    </row>
    <row r="307">
      <c r="C307" s="582"/>
    </row>
    <row r="308">
      <c r="C308" s="582"/>
    </row>
    <row r="309">
      <c r="C309" s="582"/>
    </row>
    <row r="310">
      <c r="C310" s="582"/>
    </row>
    <row r="311">
      <c r="C311" s="582"/>
    </row>
    <row r="312">
      <c r="C312" s="582"/>
    </row>
    <row r="313">
      <c r="C313" s="582"/>
    </row>
    <row r="314">
      <c r="C314" s="582"/>
    </row>
    <row r="315">
      <c r="C315" s="582"/>
    </row>
    <row r="316">
      <c r="C316" s="582"/>
    </row>
    <row r="317">
      <c r="C317" s="582"/>
    </row>
    <row r="318">
      <c r="C318" s="582"/>
    </row>
    <row r="319">
      <c r="C319" s="582"/>
    </row>
    <row r="320">
      <c r="C320" s="582"/>
    </row>
    <row r="321">
      <c r="C321" s="582"/>
    </row>
    <row r="322">
      <c r="C322" s="582"/>
    </row>
    <row r="323">
      <c r="C323" s="582"/>
    </row>
    <row r="324">
      <c r="C324" s="582"/>
    </row>
    <row r="325">
      <c r="C325" s="582"/>
    </row>
    <row r="326">
      <c r="C326" s="582"/>
    </row>
    <row r="327">
      <c r="C327" s="582"/>
    </row>
    <row r="328">
      <c r="C328" s="582"/>
    </row>
    <row r="329">
      <c r="C329" s="582"/>
    </row>
    <row r="330">
      <c r="C330" s="582"/>
    </row>
    <row r="331">
      <c r="C331" s="582"/>
    </row>
    <row r="332">
      <c r="C332" s="582"/>
    </row>
    <row r="333">
      <c r="C333" s="582"/>
    </row>
    <row r="334">
      <c r="C334" s="582"/>
    </row>
    <row r="335">
      <c r="C335" s="582"/>
    </row>
    <row r="336">
      <c r="C336" s="582"/>
    </row>
    <row r="337">
      <c r="C337" s="582"/>
    </row>
    <row r="338">
      <c r="C338" s="582"/>
    </row>
    <row r="339">
      <c r="C339" s="582"/>
    </row>
    <row r="340">
      <c r="C340" s="582"/>
    </row>
    <row r="341">
      <c r="C341" s="582"/>
    </row>
    <row r="342">
      <c r="C342" s="582"/>
    </row>
    <row r="343">
      <c r="C343" s="582"/>
    </row>
    <row r="344">
      <c r="C344" s="582"/>
    </row>
    <row r="345">
      <c r="C345" s="582"/>
    </row>
    <row r="346">
      <c r="C346" s="582"/>
    </row>
    <row r="347">
      <c r="C347" s="582"/>
    </row>
    <row r="348">
      <c r="C348" s="582"/>
    </row>
    <row r="349">
      <c r="C349" s="582"/>
    </row>
    <row r="350">
      <c r="C350" s="582"/>
    </row>
    <row r="351">
      <c r="C351" s="582"/>
    </row>
    <row r="352">
      <c r="C352" s="582"/>
    </row>
    <row r="353">
      <c r="C353" s="582"/>
    </row>
    <row r="354">
      <c r="C354" s="582"/>
    </row>
    <row r="355">
      <c r="C355" s="582"/>
    </row>
    <row r="356">
      <c r="C356" s="582"/>
    </row>
    <row r="357">
      <c r="C357" s="582"/>
    </row>
    <row r="358">
      <c r="C358" s="582"/>
    </row>
    <row r="359">
      <c r="C359" s="582"/>
    </row>
    <row r="360">
      <c r="C360" s="582"/>
    </row>
    <row r="361">
      <c r="C361" s="582"/>
    </row>
    <row r="362">
      <c r="C362" s="582"/>
    </row>
    <row r="363">
      <c r="C363" s="582"/>
    </row>
    <row r="364">
      <c r="C364" s="582"/>
    </row>
    <row r="365">
      <c r="C365" s="582"/>
    </row>
    <row r="366">
      <c r="C366" s="582"/>
    </row>
    <row r="367">
      <c r="C367" s="582"/>
    </row>
    <row r="368">
      <c r="C368" s="582"/>
    </row>
    <row r="369">
      <c r="C369" s="582"/>
    </row>
    <row r="370">
      <c r="C370" s="582"/>
    </row>
    <row r="371">
      <c r="C371" s="582"/>
    </row>
    <row r="372">
      <c r="C372" s="582"/>
    </row>
    <row r="373">
      <c r="C373" s="582"/>
    </row>
    <row r="374">
      <c r="C374" s="582"/>
    </row>
    <row r="375">
      <c r="C375" s="582"/>
    </row>
    <row r="376">
      <c r="C376" s="582"/>
    </row>
    <row r="377">
      <c r="C377" s="582"/>
    </row>
    <row r="378">
      <c r="C378" s="582"/>
    </row>
    <row r="379">
      <c r="C379" s="582"/>
    </row>
    <row r="380">
      <c r="C380" s="582"/>
    </row>
    <row r="381">
      <c r="C381" s="582"/>
    </row>
    <row r="382">
      <c r="C382" s="582"/>
    </row>
    <row r="383">
      <c r="C383" s="582"/>
    </row>
    <row r="384">
      <c r="C384" s="582"/>
    </row>
    <row r="385">
      <c r="C385" s="582"/>
    </row>
    <row r="386">
      <c r="C386" s="582"/>
    </row>
    <row r="387">
      <c r="C387" s="582"/>
    </row>
    <row r="388">
      <c r="C388" s="582"/>
    </row>
    <row r="389">
      <c r="C389" s="582"/>
    </row>
    <row r="390">
      <c r="C390" s="582"/>
    </row>
    <row r="391">
      <c r="C391" s="582"/>
    </row>
    <row r="392">
      <c r="C392" s="582"/>
    </row>
    <row r="393">
      <c r="C393" s="582"/>
    </row>
    <row r="394">
      <c r="C394" s="582"/>
    </row>
    <row r="395">
      <c r="C395" s="582"/>
    </row>
    <row r="396">
      <c r="C396" s="582"/>
    </row>
    <row r="397">
      <c r="C397" s="582"/>
    </row>
    <row r="398">
      <c r="C398" s="582"/>
    </row>
    <row r="399">
      <c r="C399" s="582"/>
    </row>
    <row r="400">
      <c r="C400" s="582"/>
    </row>
    <row r="401">
      <c r="C401" s="582"/>
    </row>
    <row r="402">
      <c r="C402" s="582"/>
    </row>
    <row r="403">
      <c r="C403" s="582"/>
    </row>
    <row r="404">
      <c r="C404" s="582"/>
    </row>
    <row r="405">
      <c r="C405" s="582"/>
    </row>
    <row r="406">
      <c r="C406" s="582"/>
    </row>
    <row r="407">
      <c r="C407" s="582"/>
    </row>
    <row r="408">
      <c r="C408" s="582"/>
    </row>
    <row r="409">
      <c r="C409" s="582"/>
    </row>
    <row r="410">
      <c r="C410" s="582"/>
    </row>
    <row r="411">
      <c r="C411" s="582"/>
    </row>
    <row r="412">
      <c r="C412" s="582"/>
    </row>
    <row r="413">
      <c r="C413" s="582"/>
    </row>
    <row r="414">
      <c r="C414" s="582"/>
    </row>
    <row r="415">
      <c r="C415" s="582"/>
    </row>
    <row r="416">
      <c r="C416" s="582"/>
    </row>
    <row r="417">
      <c r="C417" s="582"/>
    </row>
    <row r="418">
      <c r="C418" s="582"/>
    </row>
    <row r="419">
      <c r="C419" s="582"/>
    </row>
    <row r="420">
      <c r="C420" s="582"/>
    </row>
    <row r="421">
      <c r="C421" s="582"/>
    </row>
    <row r="422">
      <c r="C422" s="582"/>
    </row>
    <row r="423">
      <c r="C423" s="582"/>
    </row>
    <row r="424">
      <c r="C424" s="582"/>
    </row>
    <row r="425">
      <c r="C425" s="582"/>
    </row>
    <row r="426">
      <c r="C426" s="582"/>
    </row>
    <row r="427">
      <c r="C427" s="582"/>
    </row>
    <row r="428">
      <c r="C428" s="582"/>
    </row>
    <row r="429">
      <c r="C429" s="582"/>
    </row>
    <row r="430">
      <c r="C430" s="582"/>
    </row>
    <row r="431">
      <c r="C431" s="582"/>
    </row>
    <row r="432">
      <c r="C432" s="582"/>
    </row>
    <row r="433">
      <c r="C433" s="582"/>
    </row>
    <row r="434">
      <c r="C434" s="582"/>
    </row>
    <row r="435">
      <c r="C435" s="582"/>
    </row>
    <row r="436">
      <c r="C436" s="582"/>
    </row>
    <row r="437">
      <c r="C437" s="582"/>
    </row>
    <row r="438">
      <c r="C438" s="582"/>
    </row>
    <row r="439">
      <c r="C439" s="582"/>
    </row>
    <row r="440">
      <c r="C440" s="582"/>
    </row>
    <row r="441">
      <c r="C441" s="582"/>
    </row>
    <row r="442">
      <c r="C442" s="582"/>
    </row>
    <row r="443">
      <c r="C443" s="582"/>
    </row>
    <row r="444">
      <c r="C444" s="582"/>
    </row>
    <row r="445">
      <c r="C445" s="582"/>
    </row>
    <row r="446">
      <c r="C446" s="582"/>
    </row>
    <row r="447">
      <c r="C447" s="582"/>
    </row>
    <row r="448">
      <c r="C448" s="582"/>
    </row>
    <row r="449">
      <c r="C449" s="582"/>
    </row>
    <row r="450">
      <c r="C450" s="582"/>
    </row>
    <row r="451">
      <c r="C451" s="582"/>
    </row>
    <row r="452">
      <c r="C452" s="582"/>
    </row>
    <row r="453">
      <c r="C453" s="582"/>
    </row>
    <row r="454">
      <c r="C454" s="582"/>
    </row>
    <row r="455">
      <c r="C455" s="582"/>
    </row>
    <row r="456">
      <c r="C456" s="582"/>
    </row>
    <row r="457">
      <c r="C457" s="582"/>
    </row>
    <row r="458">
      <c r="C458" s="582"/>
    </row>
    <row r="459">
      <c r="C459" s="582"/>
    </row>
    <row r="460">
      <c r="C460" s="582"/>
    </row>
    <row r="461">
      <c r="C461" s="582"/>
    </row>
    <row r="462">
      <c r="C462" s="582"/>
    </row>
    <row r="463">
      <c r="C463" s="582"/>
    </row>
    <row r="464">
      <c r="C464" s="582"/>
    </row>
    <row r="465">
      <c r="C465" s="582"/>
    </row>
    <row r="466">
      <c r="C466" s="582"/>
    </row>
    <row r="467">
      <c r="C467" s="582"/>
    </row>
    <row r="468">
      <c r="C468" s="582"/>
    </row>
    <row r="469">
      <c r="C469" s="582"/>
    </row>
    <row r="470">
      <c r="C470" s="582"/>
    </row>
    <row r="471">
      <c r="C471" s="582"/>
    </row>
    <row r="472">
      <c r="C472" s="582"/>
    </row>
    <row r="473">
      <c r="C473" s="582"/>
    </row>
    <row r="474">
      <c r="C474" s="582"/>
    </row>
    <row r="475">
      <c r="C475" s="582"/>
    </row>
    <row r="476">
      <c r="C476" s="582"/>
    </row>
    <row r="477">
      <c r="C477" s="582"/>
    </row>
    <row r="478">
      <c r="C478" s="582"/>
    </row>
    <row r="479">
      <c r="C479" s="582"/>
    </row>
    <row r="480">
      <c r="C480" s="582"/>
    </row>
    <row r="481">
      <c r="C481" s="582"/>
    </row>
    <row r="482">
      <c r="C482" s="582"/>
    </row>
    <row r="483">
      <c r="C483" s="582"/>
    </row>
    <row r="484">
      <c r="C484" s="582"/>
    </row>
    <row r="485">
      <c r="C485" s="582"/>
    </row>
    <row r="486">
      <c r="C486" s="582"/>
    </row>
    <row r="487">
      <c r="C487" s="582"/>
    </row>
    <row r="488">
      <c r="C488" s="582"/>
    </row>
    <row r="489">
      <c r="C489" s="582"/>
    </row>
    <row r="490">
      <c r="C490" s="582"/>
    </row>
    <row r="491">
      <c r="C491" s="582"/>
    </row>
    <row r="492">
      <c r="C492" s="582"/>
    </row>
    <row r="493">
      <c r="C493" s="582"/>
    </row>
    <row r="494">
      <c r="C494" s="582"/>
    </row>
    <row r="495">
      <c r="C495" s="582"/>
    </row>
    <row r="496">
      <c r="C496" s="582"/>
    </row>
    <row r="497">
      <c r="C497" s="582"/>
    </row>
    <row r="498">
      <c r="C498" s="582"/>
    </row>
    <row r="499">
      <c r="C499" s="582"/>
    </row>
    <row r="500">
      <c r="C500" s="582"/>
    </row>
    <row r="501">
      <c r="C501" s="582"/>
    </row>
    <row r="502">
      <c r="C502" s="582"/>
    </row>
    <row r="503">
      <c r="C503" s="582"/>
    </row>
    <row r="504">
      <c r="C504" s="582"/>
    </row>
    <row r="505">
      <c r="C505" s="582"/>
    </row>
    <row r="506">
      <c r="C506" s="582"/>
    </row>
    <row r="507">
      <c r="C507" s="582"/>
    </row>
    <row r="508">
      <c r="C508" s="582"/>
    </row>
    <row r="509">
      <c r="C509" s="582"/>
    </row>
    <row r="510">
      <c r="C510" s="582"/>
    </row>
    <row r="511">
      <c r="C511" s="582"/>
    </row>
    <row r="512">
      <c r="C512" s="582"/>
    </row>
    <row r="513">
      <c r="C513" s="582"/>
    </row>
    <row r="514">
      <c r="C514" s="582"/>
    </row>
    <row r="515">
      <c r="C515" s="582"/>
    </row>
    <row r="516">
      <c r="C516" s="582"/>
    </row>
    <row r="517">
      <c r="C517" s="582"/>
    </row>
    <row r="518">
      <c r="C518" s="582"/>
    </row>
    <row r="519">
      <c r="C519" s="582"/>
    </row>
    <row r="520">
      <c r="C520" s="582"/>
    </row>
    <row r="521">
      <c r="C521" s="582"/>
    </row>
    <row r="522">
      <c r="C522" s="582"/>
    </row>
    <row r="523">
      <c r="C523" s="582"/>
    </row>
    <row r="524">
      <c r="C524" s="582"/>
    </row>
    <row r="525">
      <c r="C525" s="582"/>
    </row>
    <row r="526">
      <c r="C526" s="582"/>
    </row>
    <row r="527">
      <c r="C527" s="582"/>
    </row>
    <row r="528">
      <c r="C528" s="582"/>
    </row>
    <row r="529">
      <c r="C529" s="582"/>
    </row>
    <row r="530">
      <c r="C530" s="582"/>
    </row>
    <row r="531">
      <c r="C531" s="582"/>
    </row>
    <row r="532">
      <c r="C532" s="582"/>
    </row>
    <row r="533">
      <c r="C533" s="582"/>
    </row>
    <row r="534">
      <c r="C534" s="582"/>
    </row>
    <row r="535">
      <c r="C535" s="582"/>
    </row>
    <row r="536">
      <c r="C536" s="582"/>
    </row>
    <row r="537">
      <c r="C537" s="582"/>
    </row>
    <row r="538">
      <c r="C538" s="582"/>
    </row>
    <row r="539">
      <c r="C539" s="582"/>
    </row>
    <row r="540">
      <c r="C540" s="582"/>
    </row>
    <row r="541">
      <c r="C541" s="582"/>
    </row>
    <row r="542">
      <c r="C542" s="582"/>
    </row>
    <row r="543">
      <c r="C543" s="582"/>
    </row>
    <row r="544">
      <c r="C544" s="582"/>
    </row>
    <row r="545">
      <c r="C545" s="582"/>
    </row>
    <row r="546">
      <c r="C546" s="582"/>
    </row>
    <row r="547">
      <c r="C547" s="582"/>
    </row>
    <row r="548">
      <c r="C548" s="582"/>
    </row>
    <row r="549">
      <c r="C549" s="582"/>
    </row>
    <row r="550">
      <c r="C550" s="582"/>
    </row>
    <row r="551">
      <c r="C551" s="582"/>
    </row>
    <row r="552">
      <c r="C552" s="582"/>
    </row>
    <row r="553">
      <c r="C553" s="582"/>
    </row>
    <row r="554">
      <c r="C554" s="582"/>
    </row>
    <row r="555">
      <c r="C555" s="582"/>
    </row>
    <row r="556">
      <c r="C556" s="582"/>
    </row>
    <row r="557">
      <c r="C557" s="582"/>
    </row>
    <row r="558">
      <c r="C558" s="582"/>
    </row>
    <row r="559">
      <c r="C559" s="582"/>
    </row>
    <row r="560">
      <c r="C560" s="582"/>
    </row>
    <row r="561">
      <c r="C561" s="582"/>
    </row>
    <row r="562">
      <c r="C562" s="582"/>
    </row>
    <row r="563">
      <c r="C563" s="582"/>
    </row>
    <row r="564">
      <c r="C564" s="582"/>
    </row>
    <row r="565">
      <c r="C565" s="582"/>
    </row>
    <row r="566">
      <c r="C566" s="582"/>
    </row>
    <row r="567">
      <c r="C567" s="582"/>
    </row>
    <row r="568">
      <c r="C568" s="582"/>
    </row>
    <row r="569">
      <c r="C569" s="582"/>
    </row>
    <row r="570">
      <c r="C570" s="582"/>
    </row>
    <row r="571">
      <c r="C571" s="582"/>
    </row>
    <row r="572">
      <c r="C572" s="582"/>
    </row>
    <row r="573">
      <c r="C573" s="582"/>
    </row>
    <row r="574">
      <c r="C574" s="582"/>
    </row>
    <row r="575">
      <c r="C575" s="582"/>
    </row>
    <row r="576">
      <c r="C576" s="582"/>
    </row>
    <row r="577">
      <c r="C577" s="582"/>
    </row>
    <row r="578">
      <c r="C578" s="582"/>
    </row>
    <row r="579">
      <c r="C579" s="582"/>
    </row>
    <row r="580">
      <c r="C580" s="582"/>
    </row>
    <row r="581">
      <c r="C581" s="582"/>
    </row>
    <row r="582">
      <c r="C582" s="582"/>
    </row>
    <row r="583">
      <c r="C583" s="582"/>
    </row>
    <row r="584">
      <c r="C584" s="582"/>
    </row>
    <row r="585">
      <c r="C585" s="582"/>
    </row>
    <row r="586">
      <c r="C586" s="582"/>
    </row>
    <row r="587">
      <c r="C587" s="582"/>
    </row>
    <row r="588">
      <c r="C588" s="582"/>
    </row>
    <row r="589">
      <c r="C589" s="582"/>
    </row>
    <row r="590">
      <c r="C590" s="582"/>
    </row>
    <row r="591">
      <c r="C591" s="582"/>
    </row>
    <row r="592">
      <c r="C592" s="582"/>
    </row>
    <row r="593">
      <c r="C593" s="582"/>
    </row>
    <row r="594">
      <c r="C594" s="582"/>
    </row>
    <row r="595">
      <c r="C595" s="582"/>
    </row>
    <row r="596">
      <c r="C596" s="582"/>
    </row>
    <row r="597">
      <c r="C597" s="582"/>
    </row>
    <row r="598">
      <c r="C598" s="582"/>
    </row>
    <row r="599">
      <c r="C599" s="582"/>
    </row>
    <row r="600">
      <c r="C600" s="582"/>
    </row>
    <row r="601">
      <c r="C601" s="582"/>
    </row>
    <row r="602">
      <c r="C602" s="582"/>
    </row>
    <row r="603">
      <c r="C603" s="582"/>
    </row>
    <row r="604">
      <c r="C604" s="582"/>
    </row>
    <row r="605">
      <c r="C605" s="582"/>
    </row>
    <row r="606">
      <c r="C606" s="582"/>
    </row>
    <row r="607">
      <c r="C607" s="582"/>
    </row>
    <row r="608">
      <c r="C608" s="582"/>
    </row>
    <row r="609">
      <c r="C609" s="582"/>
    </row>
    <row r="610">
      <c r="C610" s="582"/>
    </row>
    <row r="611">
      <c r="C611" s="582"/>
    </row>
    <row r="612">
      <c r="C612" s="582"/>
    </row>
    <row r="613">
      <c r="C613" s="582"/>
    </row>
    <row r="614">
      <c r="C614" s="582"/>
    </row>
    <row r="615">
      <c r="C615" s="582"/>
    </row>
    <row r="616">
      <c r="C616" s="582"/>
    </row>
    <row r="617">
      <c r="C617" s="582"/>
    </row>
    <row r="618">
      <c r="C618" s="582"/>
    </row>
    <row r="619">
      <c r="C619" s="582"/>
    </row>
    <row r="620">
      <c r="C620" s="582"/>
    </row>
    <row r="621">
      <c r="C621" s="582"/>
    </row>
    <row r="622">
      <c r="C622" s="582"/>
    </row>
    <row r="623">
      <c r="C623" s="582"/>
    </row>
    <row r="624">
      <c r="C624" s="582"/>
    </row>
    <row r="625">
      <c r="C625" s="582"/>
    </row>
    <row r="626">
      <c r="C626" s="582"/>
    </row>
    <row r="627">
      <c r="C627" s="582"/>
    </row>
    <row r="628">
      <c r="C628" s="582"/>
    </row>
    <row r="629">
      <c r="C629" s="582"/>
    </row>
    <row r="630">
      <c r="C630" s="582"/>
    </row>
    <row r="631">
      <c r="C631" s="582"/>
    </row>
    <row r="632">
      <c r="C632" s="582"/>
    </row>
    <row r="633">
      <c r="C633" s="582"/>
    </row>
    <row r="634">
      <c r="C634" s="582"/>
    </row>
    <row r="635">
      <c r="C635" s="582"/>
    </row>
    <row r="636">
      <c r="C636" s="582"/>
    </row>
    <row r="637">
      <c r="C637" s="582"/>
    </row>
    <row r="638">
      <c r="C638" s="582"/>
    </row>
    <row r="639">
      <c r="C639" s="582"/>
    </row>
    <row r="640">
      <c r="C640" s="582"/>
    </row>
    <row r="641">
      <c r="C641" s="582"/>
    </row>
    <row r="642">
      <c r="C642" s="582"/>
    </row>
    <row r="643">
      <c r="C643" s="582"/>
    </row>
    <row r="644">
      <c r="C644" s="582"/>
    </row>
    <row r="645">
      <c r="C645" s="582"/>
    </row>
    <row r="646">
      <c r="C646" s="582"/>
    </row>
    <row r="647">
      <c r="C647" s="582"/>
    </row>
    <row r="648">
      <c r="C648" s="582"/>
    </row>
    <row r="649">
      <c r="C649" s="582"/>
    </row>
    <row r="650">
      <c r="C650" s="582"/>
    </row>
    <row r="651">
      <c r="C651" s="582"/>
    </row>
    <row r="652">
      <c r="C652" s="582"/>
    </row>
    <row r="653">
      <c r="C653" s="582"/>
    </row>
    <row r="654">
      <c r="C654" s="582"/>
    </row>
    <row r="655">
      <c r="C655" s="582"/>
    </row>
    <row r="656">
      <c r="C656" s="582"/>
    </row>
    <row r="657">
      <c r="C657" s="582"/>
    </row>
    <row r="658">
      <c r="C658" s="582"/>
    </row>
    <row r="659">
      <c r="C659" s="582"/>
    </row>
    <row r="660">
      <c r="C660" s="582"/>
    </row>
    <row r="661">
      <c r="C661" s="582"/>
    </row>
    <row r="662">
      <c r="C662" s="582"/>
    </row>
    <row r="663">
      <c r="C663" s="582"/>
    </row>
    <row r="664">
      <c r="C664" s="582"/>
    </row>
    <row r="665">
      <c r="C665" s="582"/>
    </row>
    <row r="666">
      <c r="C666" s="582"/>
    </row>
    <row r="667">
      <c r="C667" s="582"/>
    </row>
    <row r="668">
      <c r="C668" s="582"/>
    </row>
    <row r="669">
      <c r="C669" s="582"/>
    </row>
    <row r="670">
      <c r="C670" s="582"/>
    </row>
    <row r="671">
      <c r="C671" s="582"/>
    </row>
    <row r="672">
      <c r="C672" s="582"/>
    </row>
    <row r="673">
      <c r="C673" s="582"/>
    </row>
    <row r="674">
      <c r="C674" s="582"/>
    </row>
    <row r="675">
      <c r="C675" s="582"/>
    </row>
    <row r="676">
      <c r="C676" s="582"/>
    </row>
    <row r="677">
      <c r="C677" s="582"/>
    </row>
    <row r="678">
      <c r="C678" s="582"/>
    </row>
    <row r="679">
      <c r="C679" s="582"/>
    </row>
    <row r="680">
      <c r="C680" s="582"/>
    </row>
    <row r="681">
      <c r="C681" s="582"/>
    </row>
    <row r="682">
      <c r="C682" s="582"/>
    </row>
    <row r="683">
      <c r="C683" s="582"/>
    </row>
    <row r="684">
      <c r="C684" s="582"/>
    </row>
    <row r="685">
      <c r="C685" s="582"/>
    </row>
    <row r="686">
      <c r="C686" s="582"/>
    </row>
    <row r="687">
      <c r="C687" s="582"/>
    </row>
    <row r="688">
      <c r="C688" s="582"/>
    </row>
    <row r="689">
      <c r="C689" s="582"/>
    </row>
    <row r="690">
      <c r="C690" s="582"/>
    </row>
    <row r="691">
      <c r="C691" s="582"/>
    </row>
    <row r="692">
      <c r="C692" s="582"/>
    </row>
    <row r="693">
      <c r="C693" s="582"/>
    </row>
    <row r="694">
      <c r="C694" s="582"/>
    </row>
    <row r="695">
      <c r="C695" s="582"/>
    </row>
    <row r="696">
      <c r="C696" s="582"/>
    </row>
    <row r="697">
      <c r="C697" s="582"/>
    </row>
    <row r="698">
      <c r="C698" s="582"/>
    </row>
    <row r="699">
      <c r="C699" s="582"/>
    </row>
    <row r="700">
      <c r="C700" s="582"/>
    </row>
    <row r="701">
      <c r="C701" s="582"/>
    </row>
    <row r="702">
      <c r="C702" s="582"/>
    </row>
    <row r="703">
      <c r="C703" s="582"/>
    </row>
    <row r="704">
      <c r="C704" s="582"/>
    </row>
    <row r="705">
      <c r="C705" s="582"/>
    </row>
    <row r="706">
      <c r="C706" s="582"/>
    </row>
    <row r="707">
      <c r="C707" s="582"/>
    </row>
    <row r="708">
      <c r="C708" s="582"/>
    </row>
    <row r="709">
      <c r="C709" s="582"/>
    </row>
    <row r="710">
      <c r="C710" s="582"/>
    </row>
    <row r="711">
      <c r="C711" s="582"/>
    </row>
    <row r="712">
      <c r="C712" s="582"/>
    </row>
    <row r="713">
      <c r="C713" s="582"/>
    </row>
    <row r="714">
      <c r="C714" s="582"/>
    </row>
    <row r="715">
      <c r="C715" s="582"/>
    </row>
    <row r="716">
      <c r="C716" s="582"/>
    </row>
    <row r="717">
      <c r="C717" s="582"/>
    </row>
    <row r="718">
      <c r="C718" s="582"/>
    </row>
    <row r="719">
      <c r="C719" s="582"/>
    </row>
    <row r="720">
      <c r="C720" s="582"/>
    </row>
    <row r="721">
      <c r="C721" s="582"/>
    </row>
    <row r="722">
      <c r="C722" s="582"/>
    </row>
    <row r="723">
      <c r="C723" s="582"/>
    </row>
    <row r="724">
      <c r="C724" s="582"/>
    </row>
    <row r="725">
      <c r="C725" s="582"/>
    </row>
    <row r="726">
      <c r="C726" s="582"/>
    </row>
    <row r="727">
      <c r="C727" s="582"/>
    </row>
    <row r="728">
      <c r="C728" s="582"/>
    </row>
    <row r="729">
      <c r="C729" s="582"/>
    </row>
    <row r="730">
      <c r="C730" s="582"/>
    </row>
    <row r="731">
      <c r="C731" s="582"/>
    </row>
    <row r="732">
      <c r="C732" s="582"/>
    </row>
    <row r="733">
      <c r="C733" s="582"/>
    </row>
    <row r="734">
      <c r="C734" s="582"/>
    </row>
    <row r="735">
      <c r="C735" s="582"/>
    </row>
    <row r="736">
      <c r="C736" s="582"/>
    </row>
    <row r="737">
      <c r="C737" s="582"/>
    </row>
    <row r="738">
      <c r="C738" s="582"/>
    </row>
    <row r="739">
      <c r="C739" s="582"/>
    </row>
    <row r="740">
      <c r="C740" s="582"/>
    </row>
    <row r="741">
      <c r="C741" s="582"/>
    </row>
    <row r="742">
      <c r="C742" s="582"/>
    </row>
    <row r="743">
      <c r="C743" s="582"/>
    </row>
    <row r="744">
      <c r="C744" s="582"/>
    </row>
    <row r="745">
      <c r="C745" s="582"/>
    </row>
    <row r="746">
      <c r="C746" s="582"/>
    </row>
    <row r="747">
      <c r="C747" s="582"/>
    </row>
    <row r="748">
      <c r="C748" s="582"/>
    </row>
    <row r="749">
      <c r="C749" s="582"/>
    </row>
    <row r="750">
      <c r="C750" s="582"/>
    </row>
    <row r="751">
      <c r="C751" s="582"/>
    </row>
    <row r="752">
      <c r="C752" s="582"/>
    </row>
    <row r="753">
      <c r="C753" s="582"/>
    </row>
    <row r="754">
      <c r="C754" s="582"/>
    </row>
    <row r="755">
      <c r="C755" s="582"/>
    </row>
    <row r="756">
      <c r="C756" s="582"/>
    </row>
    <row r="757">
      <c r="C757" s="582"/>
    </row>
    <row r="758">
      <c r="C758" s="582"/>
    </row>
    <row r="759">
      <c r="C759" s="582"/>
    </row>
    <row r="760">
      <c r="C760" s="582"/>
    </row>
    <row r="761">
      <c r="C761" s="582"/>
    </row>
    <row r="762">
      <c r="C762" s="582"/>
    </row>
    <row r="763">
      <c r="C763" s="582"/>
    </row>
    <row r="764">
      <c r="C764" s="582"/>
    </row>
    <row r="765">
      <c r="C765" s="582"/>
    </row>
    <row r="766">
      <c r="C766" s="582"/>
    </row>
    <row r="767">
      <c r="C767" s="582"/>
    </row>
    <row r="768">
      <c r="C768" s="582"/>
    </row>
    <row r="769">
      <c r="C769" s="582"/>
    </row>
    <row r="770">
      <c r="C770" s="582"/>
    </row>
    <row r="771">
      <c r="C771" s="582"/>
    </row>
    <row r="772">
      <c r="C772" s="582"/>
    </row>
    <row r="773">
      <c r="C773" s="582"/>
    </row>
    <row r="774">
      <c r="C774" s="582"/>
    </row>
    <row r="775">
      <c r="C775" s="582"/>
    </row>
    <row r="776">
      <c r="C776" s="582"/>
    </row>
    <row r="777">
      <c r="C777" s="582"/>
    </row>
    <row r="778">
      <c r="C778" s="582"/>
    </row>
    <row r="779">
      <c r="C779" s="582"/>
    </row>
    <row r="780">
      <c r="C780" s="582"/>
    </row>
    <row r="781">
      <c r="C781" s="582"/>
    </row>
    <row r="782">
      <c r="C782" s="582"/>
    </row>
    <row r="783">
      <c r="C783" s="582"/>
    </row>
    <row r="784">
      <c r="C784" s="582"/>
    </row>
    <row r="785">
      <c r="C785" s="582"/>
    </row>
    <row r="786">
      <c r="C786" s="582"/>
    </row>
    <row r="787">
      <c r="C787" s="582"/>
    </row>
    <row r="788">
      <c r="C788" s="582"/>
    </row>
    <row r="789">
      <c r="C789" s="582"/>
    </row>
    <row r="790">
      <c r="C790" s="582"/>
    </row>
    <row r="791">
      <c r="C791" s="582"/>
    </row>
    <row r="792">
      <c r="C792" s="582"/>
    </row>
    <row r="793">
      <c r="C793" s="582"/>
    </row>
    <row r="794">
      <c r="C794" s="582"/>
    </row>
    <row r="795">
      <c r="C795" s="582"/>
    </row>
    <row r="796">
      <c r="C796" s="582"/>
    </row>
    <row r="797">
      <c r="C797" s="582"/>
    </row>
    <row r="798">
      <c r="C798" s="582"/>
    </row>
    <row r="799">
      <c r="C799" s="582"/>
    </row>
    <row r="800">
      <c r="C800" s="582"/>
    </row>
    <row r="801">
      <c r="C801" s="582"/>
    </row>
    <row r="802">
      <c r="C802" s="582"/>
    </row>
    <row r="803">
      <c r="C803" s="582"/>
    </row>
    <row r="804">
      <c r="C804" s="582"/>
    </row>
    <row r="805">
      <c r="C805" s="582"/>
    </row>
    <row r="806">
      <c r="C806" s="582"/>
    </row>
    <row r="807">
      <c r="C807" s="582"/>
    </row>
    <row r="808">
      <c r="C808" s="582"/>
    </row>
    <row r="809">
      <c r="C809" s="582"/>
    </row>
    <row r="810">
      <c r="C810" s="582"/>
    </row>
    <row r="811">
      <c r="C811" s="582"/>
    </row>
    <row r="812">
      <c r="C812" s="582"/>
    </row>
    <row r="813">
      <c r="C813" s="582"/>
    </row>
    <row r="814">
      <c r="C814" s="582"/>
    </row>
    <row r="815">
      <c r="C815" s="582"/>
    </row>
    <row r="816">
      <c r="C816" s="582"/>
    </row>
    <row r="817">
      <c r="C817" s="582"/>
    </row>
    <row r="818">
      <c r="C818" s="582"/>
    </row>
    <row r="819">
      <c r="C819" s="582"/>
    </row>
    <row r="820">
      <c r="C820" s="582"/>
    </row>
    <row r="821">
      <c r="C821" s="582"/>
    </row>
    <row r="822">
      <c r="C822" s="582"/>
    </row>
    <row r="823">
      <c r="C823" s="582"/>
    </row>
    <row r="824">
      <c r="C824" s="582"/>
    </row>
    <row r="825">
      <c r="C825" s="582"/>
    </row>
    <row r="826">
      <c r="C826" s="582"/>
    </row>
    <row r="827">
      <c r="C827" s="582"/>
    </row>
    <row r="828">
      <c r="C828" s="582"/>
    </row>
    <row r="829">
      <c r="C829" s="582"/>
    </row>
    <row r="830">
      <c r="C830" s="582"/>
    </row>
    <row r="831">
      <c r="C831" s="582"/>
    </row>
    <row r="832">
      <c r="C832" s="582"/>
    </row>
    <row r="833">
      <c r="C833" s="582"/>
    </row>
    <row r="834">
      <c r="C834" s="582"/>
    </row>
    <row r="835">
      <c r="C835" s="582"/>
    </row>
    <row r="836">
      <c r="C836" s="582"/>
    </row>
    <row r="837">
      <c r="C837" s="582"/>
    </row>
    <row r="838">
      <c r="C838" s="582"/>
    </row>
    <row r="839">
      <c r="C839" s="582"/>
    </row>
    <row r="840">
      <c r="C840" s="582"/>
    </row>
    <row r="841">
      <c r="C841" s="582"/>
    </row>
    <row r="842">
      <c r="C842" s="582"/>
    </row>
    <row r="843">
      <c r="C843" s="582"/>
    </row>
    <row r="844">
      <c r="C844" s="582"/>
    </row>
    <row r="845">
      <c r="C845" s="582"/>
    </row>
    <row r="846">
      <c r="C846" s="582"/>
    </row>
    <row r="847">
      <c r="C847" s="582"/>
    </row>
    <row r="848">
      <c r="C848" s="582"/>
    </row>
    <row r="849">
      <c r="C849" s="582"/>
    </row>
    <row r="850">
      <c r="C850" s="582"/>
    </row>
    <row r="851">
      <c r="C851" s="582"/>
    </row>
    <row r="852">
      <c r="C852" s="582"/>
    </row>
    <row r="853">
      <c r="C853" s="582"/>
    </row>
    <row r="854">
      <c r="C854" s="582"/>
    </row>
    <row r="855">
      <c r="C855" s="582"/>
    </row>
    <row r="856">
      <c r="C856" s="582"/>
    </row>
    <row r="857">
      <c r="C857" s="582"/>
    </row>
    <row r="858">
      <c r="C858" s="582"/>
    </row>
    <row r="859">
      <c r="C859" s="582"/>
    </row>
    <row r="860">
      <c r="C860" s="582"/>
    </row>
    <row r="861">
      <c r="C861" s="582"/>
    </row>
    <row r="862">
      <c r="C862" s="582"/>
    </row>
    <row r="863">
      <c r="C863" s="582"/>
    </row>
    <row r="864">
      <c r="C864" s="582"/>
    </row>
    <row r="865">
      <c r="C865" s="582"/>
    </row>
    <row r="866">
      <c r="C866" s="582"/>
    </row>
    <row r="867">
      <c r="C867" s="582"/>
    </row>
    <row r="868">
      <c r="C868" s="582"/>
    </row>
    <row r="869">
      <c r="C869" s="582"/>
    </row>
    <row r="870">
      <c r="C870" s="582"/>
    </row>
    <row r="871">
      <c r="C871" s="582"/>
    </row>
    <row r="872">
      <c r="C872" s="582"/>
    </row>
    <row r="873">
      <c r="C873" s="582"/>
    </row>
    <row r="874">
      <c r="C874" s="582"/>
    </row>
    <row r="875">
      <c r="C875" s="582"/>
    </row>
    <row r="876">
      <c r="C876" s="582"/>
    </row>
    <row r="877">
      <c r="C877" s="582"/>
    </row>
    <row r="878">
      <c r="C878" s="582"/>
    </row>
    <row r="879">
      <c r="C879" s="582"/>
    </row>
    <row r="880">
      <c r="C880" s="582"/>
    </row>
    <row r="881">
      <c r="C881" s="582"/>
    </row>
    <row r="882">
      <c r="C882" s="582"/>
    </row>
    <row r="883">
      <c r="C883" s="582"/>
    </row>
    <row r="884">
      <c r="C884" s="582"/>
    </row>
    <row r="885">
      <c r="C885" s="582"/>
    </row>
    <row r="886">
      <c r="C886" s="582"/>
    </row>
    <row r="887">
      <c r="C887" s="582"/>
    </row>
    <row r="888">
      <c r="C888" s="582"/>
    </row>
    <row r="889">
      <c r="C889" s="582"/>
    </row>
    <row r="890">
      <c r="C890" s="582"/>
    </row>
    <row r="891">
      <c r="C891" s="582"/>
    </row>
    <row r="892">
      <c r="C892" s="582"/>
    </row>
    <row r="893">
      <c r="C893" s="582"/>
    </row>
    <row r="894">
      <c r="C894" s="582"/>
    </row>
    <row r="895">
      <c r="C895" s="582"/>
    </row>
    <row r="896">
      <c r="C896" s="582"/>
    </row>
    <row r="897">
      <c r="C897" s="582"/>
    </row>
    <row r="898">
      <c r="C898" s="582"/>
    </row>
    <row r="899">
      <c r="C899" s="582"/>
    </row>
    <row r="900">
      <c r="C900" s="582"/>
    </row>
    <row r="901">
      <c r="C901" s="582"/>
    </row>
    <row r="902">
      <c r="C902" s="582"/>
    </row>
    <row r="903">
      <c r="C903" s="582"/>
    </row>
    <row r="904">
      <c r="C904" s="582"/>
    </row>
    <row r="905">
      <c r="C905" s="582"/>
    </row>
    <row r="906">
      <c r="C906" s="582"/>
    </row>
    <row r="907">
      <c r="C907" s="582"/>
    </row>
    <row r="908">
      <c r="C908" s="582"/>
    </row>
    <row r="909">
      <c r="C909" s="582"/>
    </row>
    <row r="910">
      <c r="C910" s="582"/>
    </row>
    <row r="911">
      <c r="C911" s="582"/>
    </row>
    <row r="912">
      <c r="C912" s="582"/>
    </row>
    <row r="913">
      <c r="C913" s="582"/>
    </row>
    <row r="914">
      <c r="C914" s="582"/>
    </row>
    <row r="915">
      <c r="C915" s="582"/>
    </row>
    <row r="916">
      <c r="C916" s="582"/>
    </row>
    <row r="917">
      <c r="C917" s="582"/>
    </row>
    <row r="918">
      <c r="C918" s="582"/>
    </row>
    <row r="919">
      <c r="C919" s="582"/>
    </row>
    <row r="920">
      <c r="C920" s="582"/>
    </row>
    <row r="921">
      <c r="C921" s="582"/>
    </row>
    <row r="922">
      <c r="C922" s="582"/>
    </row>
    <row r="923">
      <c r="C923" s="582"/>
    </row>
    <row r="924">
      <c r="C924" s="582"/>
    </row>
    <row r="925">
      <c r="C925" s="582"/>
    </row>
    <row r="926">
      <c r="C926" s="582"/>
    </row>
    <row r="927">
      <c r="C927" s="582"/>
    </row>
    <row r="928">
      <c r="C928" s="582"/>
    </row>
    <row r="929">
      <c r="C929" s="582"/>
    </row>
    <row r="930">
      <c r="C930" s="582"/>
    </row>
    <row r="931">
      <c r="C931" s="582"/>
    </row>
    <row r="932">
      <c r="C932" s="582"/>
    </row>
    <row r="933">
      <c r="C933" s="582"/>
    </row>
    <row r="934">
      <c r="C934" s="582"/>
    </row>
    <row r="935">
      <c r="C935" s="582"/>
    </row>
    <row r="936">
      <c r="C936" s="582"/>
    </row>
    <row r="937">
      <c r="C937" s="582"/>
    </row>
    <row r="938">
      <c r="C938" s="582"/>
    </row>
    <row r="939">
      <c r="C939" s="582"/>
    </row>
    <row r="940">
      <c r="C940" s="582"/>
    </row>
    <row r="941">
      <c r="C941" s="582"/>
    </row>
    <row r="942">
      <c r="C942" s="582"/>
    </row>
    <row r="943">
      <c r="C943" s="582"/>
    </row>
    <row r="944">
      <c r="C944" s="582"/>
    </row>
    <row r="945">
      <c r="C945" s="582"/>
    </row>
    <row r="946">
      <c r="C946" s="582"/>
    </row>
    <row r="947">
      <c r="C947" s="582"/>
    </row>
    <row r="948">
      <c r="C948" s="582"/>
    </row>
    <row r="949">
      <c r="C949" s="582"/>
    </row>
    <row r="950">
      <c r="C950" s="582"/>
    </row>
    <row r="951">
      <c r="C951" s="582"/>
    </row>
    <row r="952">
      <c r="C952" s="582"/>
    </row>
    <row r="953">
      <c r="C953" s="582"/>
    </row>
    <row r="954">
      <c r="C954" s="582"/>
    </row>
    <row r="955">
      <c r="C955" s="582"/>
    </row>
    <row r="956">
      <c r="C956" s="582"/>
    </row>
    <row r="957">
      <c r="C957" s="582"/>
    </row>
    <row r="958">
      <c r="C958" s="582"/>
    </row>
    <row r="959">
      <c r="C959" s="582"/>
    </row>
    <row r="960">
      <c r="C960" s="582"/>
    </row>
    <row r="961">
      <c r="C961" s="582"/>
    </row>
    <row r="962">
      <c r="C962" s="582"/>
    </row>
    <row r="963">
      <c r="C963" s="582"/>
    </row>
    <row r="964">
      <c r="C964" s="582"/>
    </row>
    <row r="965">
      <c r="C965" s="582"/>
    </row>
    <row r="966">
      <c r="C966" s="582"/>
    </row>
    <row r="967">
      <c r="C967" s="582"/>
    </row>
    <row r="968">
      <c r="C968" s="582"/>
    </row>
    <row r="969">
      <c r="C969" s="582"/>
    </row>
    <row r="970">
      <c r="C970" s="582"/>
    </row>
    <row r="971">
      <c r="C971" s="582"/>
    </row>
  </sheetData>
  <mergeCells count="10">
    <mergeCell ref="A41:F41"/>
    <mergeCell ref="A42:F42"/>
    <mergeCell ref="A44:D44"/>
    <mergeCell ref="A1:F1"/>
    <mergeCell ref="A2:F2"/>
    <mergeCell ref="A4:D4"/>
    <mergeCell ref="A25:B25"/>
    <mergeCell ref="A26:F26"/>
    <mergeCell ref="A27:F27"/>
    <mergeCell ref="A29:D29"/>
  </mergeCells>
  <printOptions gridLines="1" horizontalCentered="1"/>
  <pageMargins bottom="0.75" footer="0.0" header="0.0" left="0.7" right="0.7" top="0.75"/>
  <pageSetup paperSize="9" scale="85" cellComments="atEnd" orientation="landscape" pageOrder="overThenDown"/>
  <drawing r:id="rId1"/>
  <tableParts count="3">
    <tablePart r:id="rId5"/>
    <tablePart r:id="rId6"/>
    <tablePart r:id="rId7"/>
  </tableParts>
</worksheet>
</file>